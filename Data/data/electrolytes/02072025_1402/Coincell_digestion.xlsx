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ssastar-my.sharepoint.com/personal/quivb_a-star_edu_sg/Documents/Documents/Data/qubot/Pescador/02072025_1402/"/>
    </mc:Choice>
  </mc:AlternateContent>
  <xr:revisionPtr revIDLastSave="20" documentId="13_ncr:1_{B2D4F1DF-7EF3-4EAC-9C0C-D9F7B7BE62E3}" xr6:coauthVersionLast="47" xr6:coauthVersionMax="47" xr10:uidLastSave="{1698CB39-F530-40AD-AEDA-34C4C77FA63A}"/>
  <bookViews>
    <workbookView xWindow="-110" yWindow="-110" windowWidth="19420" windowHeight="10300" xr2:uid="{50BAC6AB-9795-4479-9311-9E8929B056F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H2" i="1"/>
  <c r="J3" i="1"/>
  <c r="J4" i="1"/>
  <c r="J5" i="1"/>
  <c r="J6" i="1"/>
  <c r="J7" i="1"/>
  <c r="J8" i="1"/>
  <c r="J9" i="1"/>
  <c r="J2" i="1"/>
  <c r="H3" i="1"/>
  <c r="K3" i="1" s="1"/>
  <c r="H4" i="1"/>
  <c r="K4" i="1" s="1"/>
  <c r="H5" i="1"/>
  <c r="H6" i="1"/>
  <c r="K6" i="1" s="1"/>
  <c r="H7" i="1"/>
  <c r="H8" i="1"/>
  <c r="H9" i="1"/>
  <c r="K5" i="1"/>
  <c r="K7" i="1"/>
  <c r="K8" i="1"/>
  <c r="K9" i="1" l="1"/>
</calcChain>
</file>

<file path=xl/sharedStrings.xml><?xml version="1.0" encoding="utf-8"?>
<sst xmlns="http://schemas.openxmlformats.org/spreadsheetml/2006/main" count="19" uniqueCount="19">
  <si>
    <t>Log</t>
  </si>
  <si>
    <t>Well</t>
  </si>
  <si>
    <t>coincell</t>
  </si>
  <si>
    <t>Jar 1</t>
  </si>
  <si>
    <t>Jar1 + Electrolyte intial</t>
  </si>
  <si>
    <t>Jar 2</t>
  </si>
  <si>
    <t>Electrolyte initial</t>
  </si>
  <si>
    <t>Electrolyte final</t>
  </si>
  <si>
    <t>A1</t>
  </si>
  <si>
    <t>A2</t>
  </si>
  <si>
    <t>A3</t>
  </si>
  <si>
    <t>A4</t>
  </si>
  <si>
    <t>B1</t>
  </si>
  <si>
    <t>B2</t>
  </si>
  <si>
    <t>B3</t>
  </si>
  <si>
    <t>B4</t>
  </si>
  <si>
    <t>Jar2 + Electrolyte final</t>
  </si>
  <si>
    <t>Mass Loss</t>
  </si>
  <si>
    <t>Electrolyte initial 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</si>
</sst>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6B13-C138-4610-BF13-022E559875E6}">
  <dimension ref="A1:K9"/>
  <sheetViews>
    <sheetView tabSelected="1" workbookViewId="0">
      <selection activeCell="J7" sqref="J7"/>
    </sheetView>
  </sheetViews>
  <sheetFormatPr defaultRowHeight="14.5" x14ac:dyDescent="0.35"/>
  <cols>
    <col min="6" max="6" width="14.1796875" customWidth="1"/>
    <col min="7" max="7" width="21.81640625" customWidth="1"/>
    <col min="8" max="9" width="15.81640625" customWidth="1"/>
    <col min="10" max="10" width="21.17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  <c r="G1" t="s">
        <v>5</v>
      </c>
      <c r="H1" t="s">
        <v>6</v>
      </c>
      <c r="I1" t="s">
        <v>18</v>
      </c>
      <c r="J1" t="s">
        <v>7</v>
      </c>
      <c r="K1" t="s">
        <v>17</v>
      </c>
    </row>
    <row r="2" spans="1:11" x14ac:dyDescent="0.35">
      <c r="B2" s="1" t="s">
        <v>8</v>
      </c>
      <c r="C2">
        <v>0.86209999999999998</v>
      </c>
      <c r="D2">
        <v>49.674599999999998</v>
      </c>
      <c r="E2">
        <v>50.720199999999998</v>
      </c>
      <c r="F2">
        <v>50.8902</v>
      </c>
      <c r="G2">
        <v>49.944800000000001</v>
      </c>
      <c r="H2">
        <f>E2-D2-C2</f>
        <v>0.18350000000000033</v>
      </c>
      <c r="I2">
        <v>0.23100000000000001</v>
      </c>
      <c r="J2">
        <f>F2-G2-C2</f>
        <v>8.3299999999999375E-2</v>
      </c>
      <c r="K2">
        <f>I2-J2</f>
        <v>0.14770000000000064</v>
      </c>
    </row>
    <row r="3" spans="1:11" x14ac:dyDescent="0.35">
      <c r="B3" t="s">
        <v>9</v>
      </c>
      <c r="C3">
        <v>0.85680000000000001</v>
      </c>
      <c r="D3">
        <v>49.979799999999997</v>
      </c>
      <c r="E3">
        <v>51.069600000000001</v>
      </c>
      <c r="F3">
        <v>51.081299999999999</v>
      </c>
      <c r="G3">
        <v>50.134999999999998</v>
      </c>
      <c r="H3">
        <f t="shared" ref="H3:H9" si="0">E3-D3-C3</f>
        <v>0.23300000000000387</v>
      </c>
      <c r="J3">
        <f t="shared" ref="J3:J9" si="1">F3-G3-C3</f>
        <v>8.9500000000000801E-2</v>
      </c>
      <c r="K3">
        <f t="shared" ref="K3:K9" si="2">H3-J3</f>
        <v>0.14350000000000307</v>
      </c>
    </row>
    <row r="4" spans="1:11" x14ac:dyDescent="0.35">
      <c r="B4" s="1" t="s">
        <v>10</v>
      </c>
      <c r="C4">
        <v>0.86160000000000003</v>
      </c>
      <c r="D4">
        <v>49.706000000000003</v>
      </c>
      <c r="E4">
        <v>50.795900000000003</v>
      </c>
      <c r="F4">
        <v>50.7744</v>
      </c>
      <c r="G4">
        <v>49.823599999999999</v>
      </c>
      <c r="H4">
        <f t="shared" si="0"/>
        <v>0.22830000000000006</v>
      </c>
      <c r="J4">
        <f t="shared" si="1"/>
        <v>8.9200000000000945E-2</v>
      </c>
      <c r="K4">
        <f t="shared" si="2"/>
        <v>0.13909999999999911</v>
      </c>
    </row>
    <row r="5" spans="1:11" x14ac:dyDescent="0.35">
      <c r="B5" t="s">
        <v>11</v>
      </c>
      <c r="C5">
        <v>0.85740000000000005</v>
      </c>
      <c r="D5">
        <v>49.524299999999997</v>
      </c>
      <c r="E5">
        <v>50.613700000000001</v>
      </c>
      <c r="F5">
        <v>50.627499999999998</v>
      </c>
      <c r="G5">
        <v>49.6815</v>
      </c>
      <c r="H5">
        <f t="shared" si="0"/>
        <v>0.23200000000000476</v>
      </c>
      <c r="J5">
        <f t="shared" si="1"/>
        <v>8.8599999999997903E-2</v>
      </c>
      <c r="K5">
        <f t="shared" si="2"/>
        <v>0.14340000000000686</v>
      </c>
    </row>
    <row r="6" spans="1:11" x14ac:dyDescent="0.35">
      <c r="B6" t="s">
        <v>12</v>
      </c>
      <c r="C6">
        <v>0.85509999999999997</v>
      </c>
      <c r="D6">
        <v>49.793100000000003</v>
      </c>
      <c r="E6">
        <v>50.882800000000003</v>
      </c>
      <c r="F6">
        <v>50.9816</v>
      </c>
      <c r="G6">
        <v>49.9788</v>
      </c>
      <c r="H6">
        <f t="shared" si="0"/>
        <v>0.23460000000000059</v>
      </c>
      <c r="J6">
        <f t="shared" si="1"/>
        <v>0.14770000000000061</v>
      </c>
      <c r="K6">
        <f t="shared" si="2"/>
        <v>8.6899999999999977E-2</v>
      </c>
    </row>
    <row r="7" spans="1:11" x14ac:dyDescent="0.35">
      <c r="B7" t="s">
        <v>13</v>
      </c>
      <c r="C7">
        <v>0.86029999999999995</v>
      </c>
      <c r="D7">
        <v>50.092799999999997</v>
      </c>
      <c r="E7">
        <v>51.186300000000003</v>
      </c>
      <c r="F7">
        <v>51.402200000000001</v>
      </c>
      <c r="G7">
        <v>50.389299999999999</v>
      </c>
      <c r="H7">
        <f t="shared" si="0"/>
        <v>0.23320000000000596</v>
      </c>
      <c r="J7">
        <f t="shared" si="1"/>
        <v>0.15260000000000196</v>
      </c>
      <c r="K7">
        <f t="shared" si="2"/>
        <v>8.0600000000004002E-2</v>
      </c>
    </row>
    <row r="8" spans="1:11" x14ac:dyDescent="0.35">
      <c r="B8" t="s">
        <v>14</v>
      </c>
      <c r="C8">
        <v>0.86329999999999996</v>
      </c>
      <c r="D8">
        <v>49.706400000000002</v>
      </c>
      <c r="E8">
        <v>50.8048</v>
      </c>
      <c r="F8">
        <v>50.860799999999998</v>
      </c>
      <c r="G8">
        <v>49.844499999999996</v>
      </c>
      <c r="H8">
        <f t="shared" si="0"/>
        <v>0.23509999999999809</v>
      </c>
      <c r="J8">
        <f t="shared" si="1"/>
        <v>0.15300000000000114</v>
      </c>
      <c r="K8">
        <f t="shared" si="2"/>
        <v>8.2099999999996953E-2</v>
      </c>
    </row>
    <row r="9" spans="1:11" x14ac:dyDescent="0.35">
      <c r="B9" t="s">
        <v>15</v>
      </c>
      <c r="C9">
        <v>0.85940000000000005</v>
      </c>
      <c r="D9">
        <v>49.892299999999999</v>
      </c>
      <c r="E9">
        <v>50.984499999999997</v>
      </c>
      <c r="F9">
        <v>51.109400000000001</v>
      </c>
      <c r="G9">
        <v>50.097499999999997</v>
      </c>
      <c r="H9">
        <f t="shared" si="0"/>
        <v>0.23279999999999823</v>
      </c>
      <c r="J9">
        <f t="shared" si="1"/>
        <v>0.15250000000000419</v>
      </c>
      <c r="K9">
        <f t="shared" si="2"/>
        <v>8.0299999999994043E-2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7ce4cc-aa9e-4eef-85ef-77de27415e1d" xsi:nil="true"/>
    <lcf76f155ced4ddcb4097134ff3c332f xmlns="74b08120-8b4a-4d1b-9b06-3dbced5e992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3EDBD6BDA873498DEB336D4A5D1CEC" ma:contentTypeVersion="11" ma:contentTypeDescription="Create a new document." ma:contentTypeScope="" ma:versionID="64dfcd40e46e68512e3ad57b3b63a1a8">
  <xsd:schema xmlns:xsd="http://www.w3.org/2001/XMLSchema" xmlns:xs="http://www.w3.org/2001/XMLSchema" xmlns:p="http://schemas.microsoft.com/office/2006/metadata/properties" xmlns:ns2="74b08120-8b4a-4d1b-9b06-3dbced5e9928" xmlns:ns3="0a7ce4cc-aa9e-4eef-85ef-77de27415e1d" targetNamespace="http://schemas.microsoft.com/office/2006/metadata/properties" ma:root="true" ma:fieldsID="4e3fe816a29171f97b95c51416327bb5" ns2:_="" ns3:_="">
    <xsd:import namespace="74b08120-8b4a-4d1b-9b06-3dbced5e9928"/>
    <xsd:import namespace="0a7ce4cc-aa9e-4eef-85ef-77de27415e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b08120-8b4a-4d1b-9b06-3dbced5e99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1ff4019-fa99-4329-98e7-f3e88d10e8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ce4cc-aa9e-4eef-85ef-77de27415e1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6ed8d20-39bf-4a32-9445-6b173bdb3df6}" ma:internalName="TaxCatchAll" ma:showField="CatchAllData" ma:web="0a7ce4cc-aa9e-4eef-85ef-77de27415e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6E6A59-8F3C-4321-B299-339D337A4184}">
  <ds:schemaRefs>
    <ds:schemaRef ds:uri="http://schemas.microsoft.com/office/2006/metadata/properties"/>
    <ds:schemaRef ds:uri="http://schemas.microsoft.com/office/infopath/2007/PartnerControls"/>
    <ds:schemaRef ds:uri="f9257a27-1802-405d-a628-e10e75a58086"/>
    <ds:schemaRef ds:uri="c833ac3a-8b59-43cb-91d0-7a026e982a9e"/>
  </ds:schemaRefs>
</ds:datastoreItem>
</file>

<file path=customXml/itemProps2.xml><?xml version="1.0" encoding="utf-8"?>
<ds:datastoreItem xmlns:ds="http://schemas.openxmlformats.org/officeDocument/2006/customXml" ds:itemID="{C26D691B-68F6-482E-8399-3AFE0D451C7E}"/>
</file>

<file path=customXml/itemProps3.xml><?xml version="1.0" encoding="utf-8"?>
<ds:datastoreItem xmlns:ds="http://schemas.openxmlformats.org/officeDocument/2006/customXml" ds:itemID="{3B614135-718E-434D-AFD1-930B91137D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Structural Power AMDM</dc:creator>
  <cp:keywords/>
  <dc:description/>
  <cp:lastModifiedBy>Pablo Quijano Velasco</cp:lastModifiedBy>
  <cp:revision/>
  <dcterms:created xsi:type="dcterms:W3CDTF">2025-06-26T07:55:03Z</dcterms:created>
  <dcterms:modified xsi:type="dcterms:W3CDTF">2026-05-08T02:19:04Z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0x0101000E3EDBD6BDA873498DEB336D4A5D1CEC</vt:lpwstr>
  </property>
  <property fmtid="{D5CDD505-2E9C-101B-9397-08002B2CF9AE}" pid="3" name="MediaServiceImageTags">
    <vt:lpwstr/>
  </property>
</Properties>
</file>