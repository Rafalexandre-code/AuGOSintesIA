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ssastar.sharepoint.com/sites/StructuralPowerHTE/Shared Documents/General/Data/qubot/Pescador/03072025_1327/"/>
    </mc:Choice>
  </mc:AlternateContent>
  <xr:revisionPtr revIDLastSave="10" documentId="13_ncr:1_{773A44BC-26D1-4A65-8C32-9736A03201E0}" xr6:coauthVersionLast="47" xr6:coauthVersionMax="47" xr10:uidLastSave="{3F95CCD8-0D34-4AF1-9109-B82F9DCAA6A1}"/>
  <bookViews>
    <workbookView xWindow="-28920" yWindow="-120" windowWidth="29040" windowHeight="15720" xr2:uid="{50BAC6AB-9795-4479-9311-9E8929B05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I3" i="1"/>
  <c r="I4" i="1"/>
  <c r="I5" i="1"/>
  <c r="I6" i="1"/>
  <c r="I7" i="1"/>
  <c r="I8" i="1"/>
  <c r="I2" i="1"/>
  <c r="J2" i="1" s="1"/>
  <c r="H3" i="1"/>
  <c r="H4" i="1"/>
  <c r="H5" i="1"/>
  <c r="J5" i="1" s="1"/>
  <c r="H6" i="1"/>
  <c r="J6" i="1" s="1"/>
  <c r="H7" i="1"/>
  <c r="J7" i="1" s="1"/>
  <c r="H8" i="1"/>
  <c r="H9" i="1"/>
  <c r="J9" i="1" s="1"/>
  <c r="H2" i="1"/>
  <c r="J3" i="1"/>
  <c r="J8" i="1"/>
  <c r="J4" i="1" l="1"/>
</calcChain>
</file>

<file path=xl/sharedStrings.xml><?xml version="1.0" encoding="utf-8"?>
<sst xmlns="http://schemas.openxmlformats.org/spreadsheetml/2006/main" count="18" uniqueCount="18">
  <si>
    <t>Log</t>
  </si>
  <si>
    <t>Well</t>
  </si>
  <si>
    <t>Electrolyte initial</t>
  </si>
  <si>
    <t>Electrolyte final</t>
  </si>
  <si>
    <t>coincell</t>
  </si>
  <si>
    <t>A1</t>
  </si>
  <si>
    <t>A2</t>
  </si>
  <si>
    <t>A3</t>
  </si>
  <si>
    <t>A4</t>
  </si>
  <si>
    <t>B1</t>
  </si>
  <si>
    <t>B2</t>
  </si>
  <si>
    <t>B3</t>
  </si>
  <si>
    <t>B4</t>
  </si>
  <si>
    <t>Jar 1</t>
  </si>
  <si>
    <t>Jar1 + Electrolyte intial</t>
  </si>
  <si>
    <t>Jar 2</t>
  </si>
  <si>
    <t>Jar2 + Electrolyte final</t>
  </si>
  <si>
    <t>Mass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</si>
</sst>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6B13-C138-4610-BF13-022E559875E6}">
  <dimension ref="A1:J9"/>
  <sheetViews>
    <sheetView tabSelected="1" workbookViewId="0">
      <selection activeCell="M7" sqref="M7"/>
    </sheetView>
  </sheetViews>
  <sheetFormatPr defaultRowHeight="14.5" x14ac:dyDescent="0.35"/>
  <cols>
    <col min="5" max="5" width="19.54296875" bestFit="1" customWidth="1"/>
    <col min="6" max="6" width="14.1796875" customWidth="1"/>
    <col min="7" max="7" width="21.81640625" customWidth="1"/>
    <col min="8" max="8" width="15.81640625" customWidth="1"/>
  </cols>
  <sheetData>
    <row r="1" spans="1:10" x14ac:dyDescent="0.35">
      <c r="A1" t="s">
        <v>0</v>
      </c>
      <c r="B1" t="s">
        <v>1</v>
      </c>
      <c r="C1" t="s">
        <v>4</v>
      </c>
      <c r="D1" t="s">
        <v>13</v>
      </c>
      <c r="E1" t="s">
        <v>14</v>
      </c>
      <c r="F1" t="s">
        <v>16</v>
      </c>
      <c r="G1" t="s">
        <v>15</v>
      </c>
      <c r="H1" t="s">
        <v>2</v>
      </c>
      <c r="I1" t="s">
        <v>3</v>
      </c>
      <c r="J1" t="s">
        <v>17</v>
      </c>
    </row>
    <row r="2" spans="1:10" x14ac:dyDescent="0.35">
      <c r="B2" s="1" t="s">
        <v>5</v>
      </c>
      <c r="C2">
        <v>0.85709999999999997</v>
      </c>
      <c r="D2">
        <v>50.242600000000003</v>
      </c>
      <c r="E2">
        <v>51.3292</v>
      </c>
      <c r="F2">
        <v>51.386899999999997</v>
      </c>
      <c r="G2">
        <v>50.422800000000002</v>
      </c>
      <c r="H2">
        <f>E2-D2-C2</f>
        <v>0.22949999999999715</v>
      </c>
      <c r="I2">
        <f>F2-G2-C2</f>
        <v>0.10699999999999488</v>
      </c>
      <c r="J2">
        <f>H2-I2</f>
        <v>0.12250000000000227</v>
      </c>
    </row>
    <row r="3" spans="1:10" x14ac:dyDescent="0.35">
      <c r="B3" t="s">
        <v>6</v>
      </c>
      <c r="C3">
        <v>0.85160000000000002</v>
      </c>
      <c r="D3">
        <v>49.717599999999997</v>
      </c>
      <c r="E3">
        <v>50.800800000000002</v>
      </c>
      <c r="F3">
        <v>50.8538</v>
      </c>
      <c r="G3">
        <v>49.889800000000001</v>
      </c>
      <c r="H3">
        <f t="shared" ref="H3:H9" si="0">E3-D3-C3</f>
        <v>0.23160000000000502</v>
      </c>
      <c r="I3">
        <f t="shared" ref="I3:I9" si="1">F3-G3-C3</f>
        <v>0.11239999999999861</v>
      </c>
      <c r="J3">
        <f t="shared" ref="J3:J9" si="2">H3-I3</f>
        <v>0.11920000000000641</v>
      </c>
    </row>
    <row r="4" spans="1:10" x14ac:dyDescent="0.35">
      <c r="B4" s="1" t="s">
        <v>7</v>
      </c>
      <c r="C4">
        <v>0.85429999999999995</v>
      </c>
      <c r="D4">
        <v>50.138599999999997</v>
      </c>
      <c r="E4">
        <v>51.223399999999998</v>
      </c>
      <c r="F4">
        <v>51.250399999999999</v>
      </c>
      <c r="G4">
        <v>50.283499999999997</v>
      </c>
      <c r="H4">
        <f t="shared" si="0"/>
        <v>0.23050000000000137</v>
      </c>
      <c r="I4">
        <f t="shared" si="1"/>
        <v>0.11260000000000259</v>
      </c>
      <c r="J4">
        <f t="shared" si="2"/>
        <v>0.11789999999999878</v>
      </c>
    </row>
    <row r="5" spans="1:10" x14ac:dyDescent="0.35">
      <c r="B5" t="s">
        <v>8</v>
      </c>
      <c r="C5">
        <v>0.85329999999999995</v>
      </c>
      <c r="D5">
        <v>49.952300000000001</v>
      </c>
      <c r="E5">
        <v>51.040500000000002</v>
      </c>
      <c r="F5">
        <v>51.143799999999999</v>
      </c>
      <c r="G5">
        <v>50.176699999999997</v>
      </c>
      <c r="H5">
        <f t="shared" si="0"/>
        <v>0.23490000000000055</v>
      </c>
      <c r="I5">
        <f t="shared" si="1"/>
        <v>0.11380000000000212</v>
      </c>
      <c r="J5">
        <f t="shared" si="2"/>
        <v>0.12109999999999843</v>
      </c>
    </row>
    <row r="6" spans="1:10" x14ac:dyDescent="0.35">
      <c r="B6" t="s">
        <v>9</v>
      </c>
      <c r="C6">
        <v>0.85770000000000002</v>
      </c>
      <c r="D6">
        <v>49.790799999999997</v>
      </c>
      <c r="E6">
        <v>50.888599999999997</v>
      </c>
      <c r="F6">
        <v>50.836300000000001</v>
      </c>
      <c r="G6">
        <v>49.9178</v>
      </c>
      <c r="H6">
        <f t="shared" si="0"/>
        <v>0.24009999999999942</v>
      </c>
      <c r="I6">
        <f t="shared" si="1"/>
        <v>6.0800000000001631E-2</v>
      </c>
      <c r="J6">
        <f t="shared" si="2"/>
        <v>0.17929999999999779</v>
      </c>
    </row>
    <row r="7" spans="1:10" x14ac:dyDescent="0.35">
      <c r="B7" t="s">
        <v>10</v>
      </c>
      <c r="C7">
        <v>0.85409999999999997</v>
      </c>
      <c r="D7">
        <v>50.049900000000001</v>
      </c>
      <c r="E7">
        <v>51.139699999999998</v>
      </c>
      <c r="F7">
        <v>51.231499999999997</v>
      </c>
      <c r="G7">
        <v>50.307000000000002</v>
      </c>
      <c r="H7">
        <f t="shared" si="0"/>
        <v>0.2356999999999968</v>
      </c>
      <c r="I7">
        <f t="shared" si="1"/>
        <v>7.03999999999948E-2</v>
      </c>
      <c r="J7">
        <f t="shared" si="2"/>
        <v>0.165300000000002</v>
      </c>
    </row>
    <row r="8" spans="1:10" x14ac:dyDescent="0.35">
      <c r="B8" t="s">
        <v>11</v>
      </c>
      <c r="C8">
        <v>0.85729999999999995</v>
      </c>
      <c r="D8">
        <v>49.251899999999999</v>
      </c>
      <c r="E8">
        <v>50.344299999999997</v>
      </c>
      <c r="F8">
        <v>50.232999999999997</v>
      </c>
      <c r="G8">
        <v>49.308</v>
      </c>
      <c r="H8">
        <f t="shared" si="0"/>
        <v>0.23509999999999787</v>
      </c>
      <c r="I8">
        <f t="shared" si="1"/>
        <v>6.7699999999997207E-2</v>
      </c>
      <c r="J8">
        <f t="shared" si="2"/>
        <v>0.16740000000000066</v>
      </c>
    </row>
    <row r="9" spans="1:10" x14ac:dyDescent="0.35">
      <c r="B9" t="s">
        <v>12</v>
      </c>
      <c r="C9">
        <v>0.86970000000000003</v>
      </c>
      <c r="D9">
        <v>49.829099999999997</v>
      </c>
      <c r="E9">
        <v>50.930799999999998</v>
      </c>
      <c r="F9">
        <v>50.960799999999999</v>
      </c>
      <c r="G9">
        <v>50.024999999999999</v>
      </c>
      <c r="H9">
        <f t="shared" si="0"/>
        <v>0.23200000000000098</v>
      </c>
      <c r="I9">
        <f t="shared" si="1"/>
        <v>6.6100000000000381E-2</v>
      </c>
      <c r="J9">
        <f t="shared" si="2"/>
        <v>0.1659000000000006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EDBD6BDA873498DEB336D4A5D1CEC" ma:contentTypeVersion="11" ma:contentTypeDescription="Create a new document." ma:contentTypeScope="" ma:versionID="64dfcd40e46e68512e3ad57b3b63a1a8">
  <xsd:schema xmlns:xsd="http://www.w3.org/2001/XMLSchema" xmlns:xs="http://www.w3.org/2001/XMLSchema" xmlns:p="http://schemas.microsoft.com/office/2006/metadata/properties" xmlns:ns2="74b08120-8b4a-4d1b-9b06-3dbced5e9928" xmlns:ns3="0a7ce4cc-aa9e-4eef-85ef-77de27415e1d" targetNamespace="http://schemas.microsoft.com/office/2006/metadata/properties" ma:root="true" ma:fieldsID="4e3fe816a29171f97b95c51416327bb5" ns2:_="" ns3:_="">
    <xsd:import namespace="74b08120-8b4a-4d1b-9b06-3dbced5e9928"/>
    <xsd:import namespace="0a7ce4cc-aa9e-4eef-85ef-77de27415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08120-8b4a-4d1b-9b06-3dbced5e9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ce4cc-aa9e-4eef-85ef-77de27415e1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ed8d20-39bf-4a32-9445-6b173bdb3df6}" ma:internalName="TaxCatchAll" ma:showField="CatchAllData" ma:web="0a7ce4cc-aa9e-4eef-85ef-77de27415e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ce4cc-aa9e-4eef-85ef-77de27415e1d" xsi:nil="true"/>
    <lcf76f155ced4ddcb4097134ff3c332f xmlns="74b08120-8b4a-4d1b-9b06-3dbced5e992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401338-CAA4-493E-A504-5C6E32B142D6}"/>
</file>

<file path=customXml/itemProps2.xml><?xml version="1.0" encoding="utf-8"?>
<ds:datastoreItem xmlns:ds="http://schemas.openxmlformats.org/officeDocument/2006/customXml" ds:itemID="{41FADB78-69E5-4191-91D6-B4838BA1857A}">
  <ds:schemaRefs>
    <ds:schemaRef ds:uri="http://schemas.microsoft.com/office/2006/metadata/properties"/>
    <ds:schemaRef ds:uri="http://schemas.microsoft.com/office/infopath/2007/PartnerControls"/>
    <ds:schemaRef ds:uri="f9257a27-1802-405d-a628-e10e75a58086"/>
    <ds:schemaRef ds:uri="c833ac3a-8b59-43cb-91d0-7a026e982a9e"/>
  </ds:schemaRefs>
</ds:datastoreItem>
</file>

<file path=customXml/itemProps3.xml><?xml version="1.0" encoding="utf-8"?>
<ds:datastoreItem xmlns:ds="http://schemas.openxmlformats.org/officeDocument/2006/customXml" ds:itemID="{10A979A7-E834-4304-BA9E-A0D6EC2F01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Structural Power AMDM</dc:creator>
  <cp:lastModifiedBy>Pablo Quijano Velasco</cp:lastModifiedBy>
  <dcterms:created xsi:type="dcterms:W3CDTF">2025-06-26T07:55:03Z</dcterms:created>
  <dcterms:modified xsi:type="dcterms:W3CDTF">2025-12-29T05:36:29Z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0x0101000E3EDBD6BDA873498DEB336D4A5D1CEC</vt:lpwstr>
  </property>
  <property fmtid="{D5CDD505-2E9C-101B-9397-08002B2CF9AE}" pid="3" name="MediaServiceImageTags">
    <vt:lpwstr/>
  </property>
</Properties>
</file>