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tssastar.sharepoint.com/sites/StructuralPowerHTE/Shared Documents/General/Data/qubot/Pescador/07072025_1621/"/>
    </mc:Choice>
  </mc:AlternateContent>
  <xr:revisionPtr revIDLastSave="12" documentId="13_ncr:1_{68DD6D44-40E8-44AD-A16C-19C651F3E837}" xr6:coauthVersionLast="47" xr6:coauthVersionMax="47" xr10:uidLastSave="{C4DEC76D-331D-4915-BA9D-C509366ED299}"/>
  <bookViews>
    <workbookView xWindow="-28920" yWindow="-120" windowWidth="29040" windowHeight="15720" xr2:uid="{50BAC6AB-9795-4479-9311-9E8929B056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J3" i="1"/>
  <c r="J4" i="1"/>
  <c r="J5" i="1"/>
  <c r="J6" i="1"/>
  <c r="J7" i="1"/>
  <c r="J8" i="1"/>
  <c r="J9" i="1"/>
  <c r="J2" i="1"/>
  <c r="I3" i="1"/>
  <c r="I4" i="1"/>
  <c r="I5" i="1"/>
  <c r="I6" i="1"/>
  <c r="I8" i="1"/>
  <c r="I9" i="1"/>
  <c r="I2" i="1"/>
  <c r="H3" i="1"/>
  <c r="H4" i="1"/>
  <c r="H5" i="1"/>
  <c r="H6" i="1"/>
  <c r="H7" i="1"/>
  <c r="H8" i="1"/>
  <c r="H9" i="1"/>
  <c r="H2" i="1"/>
</calcChain>
</file>

<file path=xl/sharedStrings.xml><?xml version="1.0" encoding="utf-8"?>
<sst xmlns="http://schemas.openxmlformats.org/spreadsheetml/2006/main" count="18" uniqueCount="18">
  <si>
    <t>Log</t>
  </si>
  <si>
    <t>Well</t>
  </si>
  <si>
    <t>Electrolyte initial</t>
  </si>
  <si>
    <t>Electrolyte final</t>
  </si>
  <si>
    <t>coincell</t>
  </si>
  <si>
    <t>A1</t>
  </si>
  <si>
    <t>A2</t>
  </si>
  <si>
    <t>A3</t>
  </si>
  <si>
    <t>A4</t>
  </si>
  <si>
    <t>B1</t>
  </si>
  <si>
    <t>B2</t>
  </si>
  <si>
    <t>B3</t>
  </si>
  <si>
    <t>B4</t>
  </si>
  <si>
    <t>Jar 1</t>
  </si>
  <si>
    <t>Jar1 + Electrolyte intial</t>
  </si>
  <si>
    <t>Jar 2</t>
  </si>
  <si>
    <t>Jar2 + Electrolyte final</t>
  </si>
  <si>
    <t>Mass 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</si>
</sst>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E6B13-C138-4610-BF13-022E559875E6}">
  <dimension ref="A1:J9"/>
  <sheetViews>
    <sheetView tabSelected="1" workbookViewId="0">
      <selection activeCell="I7" sqref="I7"/>
    </sheetView>
  </sheetViews>
  <sheetFormatPr defaultRowHeight="14.5" x14ac:dyDescent="0.35"/>
  <cols>
    <col min="6" max="6" width="14.1796875" customWidth="1"/>
    <col min="7" max="7" width="21.81640625" customWidth="1"/>
    <col min="8" max="8" width="15.81640625" customWidth="1"/>
    <col min="9" max="9" width="20.7265625" customWidth="1"/>
  </cols>
  <sheetData>
    <row r="1" spans="1:10" x14ac:dyDescent="0.35">
      <c r="A1" t="s">
        <v>0</v>
      </c>
      <c r="B1" t="s">
        <v>1</v>
      </c>
      <c r="C1" t="s">
        <v>4</v>
      </c>
      <c r="D1" t="s">
        <v>13</v>
      </c>
      <c r="E1" t="s">
        <v>14</v>
      </c>
      <c r="F1" t="s">
        <v>16</v>
      </c>
      <c r="G1" t="s">
        <v>15</v>
      </c>
      <c r="H1" t="s">
        <v>2</v>
      </c>
      <c r="I1" t="s">
        <v>3</v>
      </c>
      <c r="J1" t="s">
        <v>17</v>
      </c>
    </row>
    <row r="2" spans="1:10" x14ac:dyDescent="0.35">
      <c r="B2" s="1" t="s">
        <v>5</v>
      </c>
      <c r="C2">
        <v>0.86050000000000004</v>
      </c>
      <c r="D2">
        <v>50.3977</v>
      </c>
      <c r="E2">
        <v>51.4818</v>
      </c>
      <c r="F2">
        <v>51.521299999999997</v>
      </c>
      <c r="G2">
        <v>50.606099999999998</v>
      </c>
      <c r="H2">
        <f>E2-D2-C2</f>
        <v>0.22359999999999935</v>
      </c>
      <c r="I2">
        <f>F2-G2-C2</f>
        <v>5.4699999999998639E-2</v>
      </c>
      <c r="J2">
        <f>H2-I2</f>
        <v>0.16890000000000072</v>
      </c>
    </row>
    <row r="3" spans="1:10" x14ac:dyDescent="0.35">
      <c r="B3" t="s">
        <v>6</v>
      </c>
      <c r="C3">
        <v>0.86060000000000003</v>
      </c>
      <c r="D3">
        <v>49.851799999999997</v>
      </c>
      <c r="E3">
        <v>50.939900000000002</v>
      </c>
      <c r="F3">
        <v>50.957099999999997</v>
      </c>
      <c r="G3">
        <v>50.026299999999999</v>
      </c>
      <c r="H3">
        <f t="shared" ref="H3:H9" si="0">E3-D3-C3</f>
        <v>0.22750000000000425</v>
      </c>
      <c r="I3">
        <f t="shared" ref="I3:I9" si="1">F3-G3-C3</f>
        <v>7.019999999999782E-2</v>
      </c>
      <c r="J3">
        <f t="shared" ref="J3:J9" si="2">H3-I3</f>
        <v>0.15730000000000643</v>
      </c>
    </row>
    <row r="4" spans="1:10" x14ac:dyDescent="0.35">
      <c r="B4" s="1" t="s">
        <v>7</v>
      </c>
      <c r="C4">
        <v>0.86070000000000002</v>
      </c>
      <c r="D4">
        <v>50.2714</v>
      </c>
      <c r="E4">
        <v>51.364800000000002</v>
      </c>
      <c r="F4">
        <v>51.420200000000001</v>
      </c>
      <c r="G4">
        <v>50.490200000000002</v>
      </c>
      <c r="H4">
        <f t="shared" si="0"/>
        <v>0.23270000000000257</v>
      </c>
      <c r="I4">
        <f t="shared" si="1"/>
        <v>6.9299999999999695E-2</v>
      </c>
      <c r="J4">
        <f t="shared" si="2"/>
        <v>0.16340000000000288</v>
      </c>
    </row>
    <row r="5" spans="1:10" x14ac:dyDescent="0.35">
      <c r="B5" t="s">
        <v>8</v>
      </c>
      <c r="C5">
        <v>0.87239999999999995</v>
      </c>
      <c r="D5">
        <v>50.158900000000003</v>
      </c>
      <c r="E5">
        <v>51.257399999999997</v>
      </c>
      <c r="F5">
        <v>51.414000000000001</v>
      </c>
      <c r="G5">
        <v>50.477499999999999</v>
      </c>
      <c r="H5">
        <f t="shared" si="0"/>
        <v>0.22609999999999431</v>
      </c>
      <c r="I5">
        <f t="shared" si="1"/>
        <v>6.4100000000002377E-2</v>
      </c>
      <c r="J5">
        <f t="shared" si="2"/>
        <v>0.16199999999999193</v>
      </c>
    </row>
    <row r="6" spans="1:10" x14ac:dyDescent="0.35">
      <c r="B6" t="s">
        <v>9</v>
      </c>
      <c r="C6">
        <v>0.85799999999999998</v>
      </c>
      <c r="D6">
        <v>49.907899999999998</v>
      </c>
      <c r="E6">
        <v>50.981999999999999</v>
      </c>
      <c r="F6">
        <v>51.423000000000002</v>
      </c>
      <c r="G6">
        <v>50.418799999999997</v>
      </c>
      <c r="H6">
        <f t="shared" si="0"/>
        <v>0.2161000000000014</v>
      </c>
      <c r="I6">
        <f t="shared" si="1"/>
        <v>0.14620000000000444</v>
      </c>
      <c r="J6">
        <f t="shared" si="2"/>
        <v>6.9899999999996965E-2</v>
      </c>
    </row>
    <row r="7" spans="1:10" x14ac:dyDescent="0.35">
      <c r="B7" t="s">
        <v>10</v>
      </c>
      <c r="C7">
        <v>0.85840000000000005</v>
      </c>
      <c r="D7">
        <v>50.230600000000003</v>
      </c>
      <c r="E7">
        <v>51.314300000000003</v>
      </c>
      <c r="F7">
        <v>50.951099999999997</v>
      </c>
      <c r="G7">
        <v>49.931199999999997</v>
      </c>
      <c r="H7">
        <f t="shared" si="0"/>
        <v>0.22530000000000028</v>
      </c>
      <c r="I7">
        <f t="shared" si="1"/>
        <v>0.16149999999999975</v>
      </c>
      <c r="J7">
        <f t="shared" si="2"/>
        <v>6.3800000000000523E-2</v>
      </c>
    </row>
    <row r="8" spans="1:10" x14ac:dyDescent="0.35">
      <c r="B8" t="s">
        <v>11</v>
      </c>
      <c r="C8">
        <v>0.86280000000000001</v>
      </c>
      <c r="D8">
        <v>49.306399999999996</v>
      </c>
      <c r="E8">
        <v>50.407400000000003</v>
      </c>
      <c r="F8">
        <v>51.046999999999997</v>
      </c>
      <c r="G8">
        <v>50.036000000000001</v>
      </c>
      <c r="H8">
        <f t="shared" si="0"/>
        <v>0.23820000000000618</v>
      </c>
      <c r="I8">
        <f t="shared" si="1"/>
        <v>0.14819999999999567</v>
      </c>
      <c r="J8">
        <f t="shared" si="2"/>
        <v>9.0000000000010516E-2</v>
      </c>
    </row>
    <row r="9" spans="1:10" x14ac:dyDescent="0.35">
      <c r="B9" t="s">
        <v>12</v>
      </c>
      <c r="C9">
        <v>0.85880000000000001</v>
      </c>
      <c r="D9">
        <v>50.012799999999999</v>
      </c>
      <c r="E9">
        <v>51.092199999999998</v>
      </c>
      <c r="F9">
        <v>51.254600000000003</v>
      </c>
      <c r="G9">
        <v>50.256</v>
      </c>
      <c r="H9">
        <f t="shared" si="0"/>
        <v>0.22059999999999969</v>
      </c>
      <c r="I9">
        <f t="shared" si="1"/>
        <v>0.13980000000000325</v>
      </c>
      <c r="J9">
        <f t="shared" si="2"/>
        <v>8.079999999999643E-2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3EDBD6BDA873498DEB336D4A5D1CEC" ma:contentTypeVersion="11" ma:contentTypeDescription="Create a new document." ma:contentTypeScope="" ma:versionID="64dfcd40e46e68512e3ad57b3b63a1a8">
  <xsd:schema xmlns:xsd="http://www.w3.org/2001/XMLSchema" xmlns:xs="http://www.w3.org/2001/XMLSchema" xmlns:p="http://schemas.microsoft.com/office/2006/metadata/properties" xmlns:ns2="74b08120-8b4a-4d1b-9b06-3dbced5e9928" xmlns:ns3="0a7ce4cc-aa9e-4eef-85ef-77de27415e1d" targetNamespace="http://schemas.microsoft.com/office/2006/metadata/properties" ma:root="true" ma:fieldsID="4e3fe816a29171f97b95c51416327bb5" ns2:_="" ns3:_="">
    <xsd:import namespace="74b08120-8b4a-4d1b-9b06-3dbced5e9928"/>
    <xsd:import namespace="0a7ce4cc-aa9e-4eef-85ef-77de27415e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b08120-8b4a-4d1b-9b06-3dbced5e99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1ff4019-fa99-4329-98e7-f3e88d10e8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7ce4cc-aa9e-4eef-85ef-77de27415e1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b6ed8d20-39bf-4a32-9445-6b173bdb3df6}" ma:internalName="TaxCatchAll" ma:showField="CatchAllData" ma:web="0a7ce4cc-aa9e-4eef-85ef-77de27415e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a7ce4cc-aa9e-4eef-85ef-77de27415e1d" xsi:nil="true"/>
    <lcf76f155ced4ddcb4097134ff3c332f xmlns="74b08120-8b4a-4d1b-9b06-3dbced5e99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C37674E-0E89-493E-A6ED-0E394945ED7E}"/>
</file>

<file path=customXml/itemProps2.xml><?xml version="1.0" encoding="utf-8"?>
<ds:datastoreItem xmlns:ds="http://schemas.openxmlformats.org/officeDocument/2006/customXml" ds:itemID="{08E58345-B3A5-408E-90A8-4F98892787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5DEB018-B955-487C-A738-76C42BB51793}">
  <ds:schemaRefs>
    <ds:schemaRef ds:uri="http://schemas.microsoft.com/office/2006/metadata/properties"/>
    <ds:schemaRef ds:uri="http://schemas.microsoft.com/office/infopath/2007/PartnerControls"/>
    <ds:schemaRef ds:uri="f9257a27-1802-405d-a628-e10e75a58086"/>
    <ds:schemaRef ds:uri="c833ac3a-8b59-43cb-91d0-7a026e982a9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Structural Power AMDM</dc:creator>
  <cp:lastModifiedBy>Pablo Quijano Velasco</cp:lastModifiedBy>
  <dcterms:created xsi:type="dcterms:W3CDTF">2025-06-26T07:55:03Z</dcterms:created>
  <dcterms:modified xsi:type="dcterms:W3CDTF">2026-05-04T07:44:37Z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0x0101000E3EDBD6BDA873498DEB336D4A5D1CEC</vt:lpwstr>
  </property>
  <property fmtid="{D5CDD505-2E9C-101B-9397-08002B2CF9AE}" pid="3" name="MediaServiceImageTags">
    <vt:lpwstr/>
  </property>
</Properties>
</file>