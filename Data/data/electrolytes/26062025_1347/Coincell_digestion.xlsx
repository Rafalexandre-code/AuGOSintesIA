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ssastar-my.sharepoint.com/personal/quivb_a-star_edu_sg/Documents/Documents/Data/qubot/Pescador/26062025_1347/"/>
    </mc:Choice>
  </mc:AlternateContent>
  <xr:revisionPtr revIDLastSave="110" documentId="13_ncr:1_{B3A25637-1ADD-43FA-9E2D-A8870F6E44AC}" xr6:coauthVersionLast="47" xr6:coauthVersionMax="47" xr10:uidLastSave="{0DDA7487-A2E0-48AC-9DFB-B41BF93D2259}"/>
  <bookViews>
    <workbookView xWindow="-110" yWindow="-110" windowWidth="19420" windowHeight="10300" xr2:uid="{50BAC6AB-9795-4479-9311-9E8929B05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8" i="1" l="1"/>
  <c r="L3" i="1"/>
  <c r="H4" i="1"/>
  <c r="J3" i="1"/>
  <c r="J4" i="1"/>
  <c r="L4" i="1" s="1"/>
  <c r="J5" i="1"/>
  <c r="J6" i="1"/>
  <c r="J7" i="1"/>
  <c r="J9" i="1"/>
  <c r="J2" i="1"/>
  <c r="H9" i="1"/>
  <c r="H8" i="1"/>
  <c r="L8" i="1" s="1"/>
  <c r="H7" i="1"/>
  <c r="H6" i="1"/>
  <c r="H5" i="1"/>
  <c r="H3" i="1"/>
  <c r="H2" i="1"/>
  <c r="L6" i="1" l="1"/>
  <c r="L7" i="1"/>
  <c r="L5" i="1"/>
  <c r="L2" i="1"/>
  <c r="L9" i="1"/>
</calcChain>
</file>

<file path=xl/sharedStrings.xml><?xml version="1.0" encoding="utf-8"?>
<sst xmlns="http://schemas.openxmlformats.org/spreadsheetml/2006/main" count="20" uniqueCount="20">
  <si>
    <t>Log</t>
  </si>
  <si>
    <t>Well</t>
  </si>
  <si>
    <t>Electrolyte initial</t>
  </si>
  <si>
    <t>Electrolyte final</t>
  </si>
  <si>
    <t>A1</t>
  </si>
  <si>
    <t>A2</t>
  </si>
  <si>
    <t>A3</t>
  </si>
  <si>
    <t>A4</t>
  </si>
  <si>
    <t>B1</t>
  </si>
  <si>
    <t>B2</t>
  </si>
  <si>
    <t>B3</t>
  </si>
  <si>
    <t>B4</t>
  </si>
  <si>
    <t>coincell</t>
  </si>
  <si>
    <t>Jar 1</t>
  </si>
  <si>
    <t>Jar1 + Electrolyte intial</t>
  </si>
  <si>
    <t>Jar2 + Electrolyte final</t>
  </si>
  <si>
    <t>Jar 2</t>
  </si>
  <si>
    <t>Mass Loss</t>
  </si>
  <si>
    <t>Electrolyte initial corrected</t>
  </si>
  <si>
    <t>Electrolyte final corrected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</si>
</sst>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6B13-C138-4610-BF13-022E559875E6}">
  <dimension ref="A1:L9"/>
  <sheetViews>
    <sheetView tabSelected="1" topLeftCell="D1" zoomScaleNormal="100" workbookViewId="0">
      <selection activeCell="L8" sqref="L8"/>
    </sheetView>
  </sheetViews>
  <sheetFormatPr defaultRowHeight="14.5" x14ac:dyDescent="0.35"/>
  <cols>
    <col min="5" max="6" width="29.26953125" customWidth="1"/>
    <col min="7" max="7" width="17.90625" customWidth="1"/>
    <col min="8" max="9" width="18.26953125" customWidth="1"/>
    <col min="10" max="11" width="15.81640625" customWidth="1"/>
  </cols>
  <sheetData>
    <row r="1" spans="1:12" x14ac:dyDescent="0.35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2</v>
      </c>
      <c r="I1" t="s">
        <v>18</v>
      </c>
      <c r="J1" t="s">
        <v>3</v>
      </c>
      <c r="K1" t="s">
        <v>19</v>
      </c>
      <c r="L1" t="s">
        <v>17</v>
      </c>
    </row>
    <row r="2" spans="1:12" x14ac:dyDescent="0.35">
      <c r="B2" t="s">
        <v>4</v>
      </c>
      <c r="C2">
        <v>0.85919999999999996</v>
      </c>
      <c r="D2">
        <v>49.7883</v>
      </c>
      <c r="E2">
        <v>50.829300000000003</v>
      </c>
      <c r="F2">
        <v>51.1143</v>
      </c>
      <c r="G2">
        <v>50.120100000000001</v>
      </c>
      <c r="H2">
        <f>E2-D2-C2</f>
        <v>0.18180000000000396</v>
      </c>
      <c r="J2">
        <f>F2-G2-C2</f>
        <v>0.13499999999999934</v>
      </c>
      <c r="L2">
        <f>H2-J2</f>
        <v>4.6800000000004616E-2</v>
      </c>
    </row>
    <row r="3" spans="1:12" x14ac:dyDescent="0.35">
      <c r="B3" t="s">
        <v>5</v>
      </c>
      <c r="C3">
        <v>0.85919999999999996</v>
      </c>
      <c r="D3">
        <v>49.597499999999997</v>
      </c>
      <c r="E3">
        <v>50.682600000000001</v>
      </c>
      <c r="F3">
        <v>50.787700000000001</v>
      </c>
      <c r="G3">
        <v>49.749099999999999</v>
      </c>
      <c r="H3">
        <f t="shared" ref="H3:H9" si="0">E3-D3-C3</f>
        <v>0.22590000000000421</v>
      </c>
      <c r="J3">
        <f t="shared" ref="J3:J9" si="1">F3-G3-C3</f>
        <v>0.17940000000000245</v>
      </c>
      <c r="L3">
        <f>H3-J3</f>
        <v>4.6500000000001762E-2</v>
      </c>
    </row>
    <row r="4" spans="1:12" x14ac:dyDescent="0.35">
      <c r="B4" t="s">
        <v>6</v>
      </c>
      <c r="C4">
        <v>0.85919999999999996</v>
      </c>
      <c r="D4">
        <v>49.616399999999999</v>
      </c>
      <c r="E4">
        <v>51.030999999999999</v>
      </c>
      <c r="F4">
        <v>51.201300000000003</v>
      </c>
      <c r="G4">
        <v>50.164999999999999</v>
      </c>
      <c r="H4">
        <f t="shared" si="0"/>
        <v>0.55540000000000012</v>
      </c>
      <c r="I4">
        <v>0.23258999999999999</v>
      </c>
      <c r="J4">
        <f t="shared" si="1"/>
        <v>0.17710000000000425</v>
      </c>
      <c r="L4">
        <f>I4-J4</f>
        <v>5.5489999999995737E-2</v>
      </c>
    </row>
    <row r="5" spans="1:12" x14ac:dyDescent="0.35">
      <c r="B5" t="s">
        <v>7</v>
      </c>
      <c r="C5">
        <v>0.85919999999999996</v>
      </c>
      <c r="D5">
        <v>49.465299999999999</v>
      </c>
      <c r="E5">
        <v>50.488900000000001</v>
      </c>
      <c r="F5">
        <v>50.600299999999997</v>
      </c>
      <c r="G5">
        <v>49.615600000000001</v>
      </c>
      <c r="H5">
        <f t="shared" si="0"/>
        <v>0.16440000000000188</v>
      </c>
      <c r="J5">
        <f t="shared" si="1"/>
        <v>0.12549999999999661</v>
      </c>
      <c r="L5">
        <f t="shared" ref="L3:L9" si="2">H5-J5</f>
        <v>3.8900000000005264E-2</v>
      </c>
    </row>
    <row r="6" spans="1:12" x14ac:dyDescent="0.35">
      <c r="B6" t="s">
        <v>8</v>
      </c>
      <c r="C6">
        <v>0.85919999999999996</v>
      </c>
      <c r="D6">
        <v>49.674500000000002</v>
      </c>
      <c r="E6">
        <v>50.728700000000003</v>
      </c>
      <c r="F6">
        <v>50.825699999999998</v>
      </c>
      <c r="G6">
        <v>49.886499999999998</v>
      </c>
      <c r="H6">
        <f t="shared" si="0"/>
        <v>0.19500000000000162</v>
      </c>
      <c r="J6">
        <f t="shared" si="1"/>
        <v>7.9999999999999627E-2</v>
      </c>
      <c r="L6">
        <f t="shared" si="2"/>
        <v>0.11500000000000199</v>
      </c>
    </row>
    <row r="7" spans="1:12" x14ac:dyDescent="0.35">
      <c r="B7" t="s">
        <v>9</v>
      </c>
      <c r="C7">
        <v>0.85919999999999996</v>
      </c>
      <c r="D7">
        <v>49.81</v>
      </c>
      <c r="E7">
        <v>50.915100000000002</v>
      </c>
      <c r="F7">
        <v>50.879300000000001</v>
      </c>
      <c r="G7">
        <v>49.916800000000002</v>
      </c>
      <c r="H7">
        <f t="shared" si="0"/>
        <v>0.24590000000000023</v>
      </c>
      <c r="J7">
        <f t="shared" si="1"/>
        <v>0.10329999999999862</v>
      </c>
      <c r="L7">
        <f t="shared" si="2"/>
        <v>0.14260000000000161</v>
      </c>
    </row>
    <row r="8" spans="1:12" x14ac:dyDescent="0.35">
      <c r="B8" t="s">
        <v>10</v>
      </c>
      <c r="C8">
        <v>0.85919999999999996</v>
      </c>
      <c r="D8">
        <v>49.619700000000002</v>
      </c>
      <c r="E8">
        <v>50.710900000000002</v>
      </c>
      <c r="F8">
        <v>50.694099999999999</v>
      </c>
      <c r="G8">
        <v>49.687199999999997</v>
      </c>
      <c r="H8">
        <f t="shared" si="0"/>
        <v>0.23200000000000065</v>
      </c>
      <c r="J8">
        <f t="shared" si="1"/>
        <v>0.14770000000000172</v>
      </c>
      <c r="K8">
        <v>9.1999999999999998E-2</v>
      </c>
      <c r="L8">
        <f>H8-K8</f>
        <v>0.14000000000000065</v>
      </c>
    </row>
    <row r="9" spans="1:12" x14ac:dyDescent="0.35">
      <c r="B9" t="s">
        <v>11</v>
      </c>
      <c r="C9">
        <v>0.85919999999999996</v>
      </c>
      <c r="D9">
        <v>49.336599999999997</v>
      </c>
      <c r="E9">
        <v>50.430399999999999</v>
      </c>
      <c r="F9">
        <v>50.418199999999999</v>
      </c>
      <c r="G9">
        <v>49.464199999999998</v>
      </c>
      <c r="H9">
        <f t="shared" si="0"/>
        <v>0.2346000000000017</v>
      </c>
      <c r="J9">
        <f t="shared" si="1"/>
        <v>9.4800000000000662E-2</v>
      </c>
      <c r="L9">
        <f t="shared" si="2"/>
        <v>0.13980000000000103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ce4cc-aa9e-4eef-85ef-77de27415e1d" xsi:nil="true"/>
    <lcf76f155ced4ddcb4097134ff3c332f xmlns="74b08120-8b4a-4d1b-9b06-3dbced5e992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59E5F6F-D0B8-45FF-8811-4717DCFF6A25}"/>
</file>

<file path=customXml/itemProps2.xml><?xml version="1.0" encoding="utf-8"?>
<ds:datastoreItem xmlns:ds="http://schemas.openxmlformats.org/officeDocument/2006/customXml" ds:itemID="{1630D6E7-E475-47D5-94B4-B09C91429DD1}">
  <ds:schemaRefs>
    <ds:schemaRef ds:uri="http://schemas.microsoft.com/office/2006/metadata/properties"/>
    <ds:schemaRef ds:uri="http://schemas.microsoft.com/office/infopath/2007/PartnerControls"/>
    <ds:schemaRef ds:uri="f9257a27-1802-405d-a628-e10e75a58086"/>
    <ds:schemaRef ds:uri="c833ac3a-8b59-43cb-91d0-7a026e982a9e"/>
  </ds:schemaRefs>
</ds:datastoreItem>
</file>

<file path=customXml/itemProps3.xml><?xml version="1.0" encoding="utf-8"?>
<ds:datastoreItem xmlns:ds="http://schemas.openxmlformats.org/officeDocument/2006/customXml" ds:itemID="{70456AA0-CAD2-4F96-B744-985BF35CCC5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Pablo Quijano Velasco</cp:lastModifiedBy>
  <dcterms:created xsi:type="dcterms:W3CDTF">2025-06-26T07:55:03Z</dcterms:created>
  <dcterms:modified xsi:type="dcterms:W3CDTF">2026-05-08T02:19:57Z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  <property fmtid="{D5CDD505-2E9C-101B-9397-08002B2CF9AE}" pid="3" name="MediaServiceImageTags">
    <vt:lpwstr/>
  </property>
</Properties>
</file>