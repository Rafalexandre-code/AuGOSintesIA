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laufraso_upv_edu_es/Documents/JPP 2022-2024/Geraldine/ACS OMEGA/"/>
    </mc:Choice>
  </mc:AlternateContent>
  <xr:revisionPtr revIDLastSave="521" documentId="8_{D7CAB395-BA9A-45D1-B170-06BE9126094F}" xr6:coauthVersionLast="47" xr6:coauthVersionMax="47" xr10:uidLastSave="{6E8DA5F1-E91A-4C65-A5AC-D50EAB76BE12}"/>
  <bookViews>
    <workbookView xWindow="28680" yWindow="-120" windowWidth="19440" windowHeight="14880" xr2:uid="{5B8625FF-B4A4-4338-8FB5-1F31D2FC7EC5}"/>
  </bookViews>
  <sheets>
    <sheet name="Hoja1" sheetId="1" r:id="rId1"/>
  </sheets>
  <definedNames>
    <definedName name="_xlnm._FilterDatabase" localSheetId="0" hidden="1">Hoja1!$A$1:$K$208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J42" i="1"/>
  <c r="J151" i="1"/>
  <c r="J134" i="1"/>
  <c r="J133" i="1"/>
  <c r="J128" i="1"/>
  <c r="J78" i="1"/>
  <c r="J77" i="1"/>
  <c r="J76" i="1"/>
  <c r="I26" i="1"/>
  <c r="J18" i="1"/>
  <c r="I11" i="1"/>
  <c r="I10" i="1"/>
  <c r="J9" i="1"/>
</calcChain>
</file>

<file path=xl/sharedStrings.xml><?xml version="1.0" encoding="utf-8"?>
<sst xmlns="http://schemas.openxmlformats.org/spreadsheetml/2006/main" count="662" uniqueCount="207">
  <si>
    <t>water</t>
  </si>
  <si>
    <t>GSH</t>
  </si>
  <si>
    <t>PBS</t>
  </si>
  <si>
    <t>Methanol/water</t>
  </si>
  <si>
    <t>Ethanol/water/PBS</t>
  </si>
  <si>
    <t>DMF</t>
  </si>
  <si>
    <t>THIOL</t>
  </si>
  <si>
    <t>n-hexanol</t>
  </si>
  <si>
    <t>Toluene</t>
  </si>
  <si>
    <t>Ethanol</t>
  </si>
  <si>
    <t>Ethanol/water</t>
  </si>
  <si>
    <t>PBS+water</t>
  </si>
  <si>
    <t>Hcl-AcNa</t>
  </si>
  <si>
    <t>DMSO</t>
  </si>
  <si>
    <t>Acetone</t>
  </si>
  <si>
    <t>Methanol</t>
  </si>
  <si>
    <t>DCM</t>
  </si>
  <si>
    <t>THF</t>
  </si>
  <si>
    <t>Hexane</t>
  </si>
  <si>
    <t>Size (nm)</t>
  </si>
  <si>
    <t>Ligand</t>
  </si>
  <si>
    <t>Synthesis T (ºC)</t>
  </si>
  <si>
    <t>Synthesis pH</t>
  </si>
  <si>
    <t>Synthesis time (h)</t>
  </si>
  <si>
    <t>DOI</t>
  </si>
  <si>
    <t>10.1039/d4qi01828a</t>
  </si>
  <si>
    <t>10.1039/D2AN00369D</t>
  </si>
  <si>
    <t>https://doi.org/10.1016/j.foodchem.2024.138738</t>
  </si>
  <si>
    <t>https://doi.org/10.1016/j.aca.2023.341372</t>
  </si>
  <si>
    <t>10.1049/mna2.12114</t>
  </si>
  <si>
    <t>https://doi.org/10.1016/j.talanta.2024.125905</t>
  </si>
  <si>
    <t>https://doi.org/10.1016/j.microc.2021.107163</t>
  </si>
  <si>
    <t>https://doi.org/10.1016/j.foodchem.2024.141120</t>
  </si>
  <si>
    <t>https://doi.org/10.1039/D2AY00195K</t>
  </si>
  <si>
    <t>https://doi.org/10.1016/j.cclet.2021.07.073</t>
  </si>
  <si>
    <t>https://doi.org/10.1016/j.jfca.2024.106591</t>
  </si>
  <si>
    <t>https://doi.org/10.1016/j.foodchem.2021.130964</t>
  </si>
  <si>
    <t>10.1021/acssuschemeng.1c06714</t>
  </si>
  <si>
    <t>https://doi.org/10.1039/B916919A</t>
  </si>
  <si>
    <t>https://doi.org/10.1002/smll.201300213</t>
  </si>
  <si>
    <t>https://doi.org/10.1007/s00604-019-4090-5</t>
  </si>
  <si>
    <t>https://doi.org/10.1039/C2NR30833A</t>
  </si>
  <si>
    <t>https://doi.org/10.1007/s11051-010-9935-0</t>
  </si>
  <si>
    <t>https://doi.org/10.1016/j.jcis.2013.11.011</t>
  </si>
  <si>
    <t>https://doi.org/10.1021/nn202860s</t>
  </si>
  <si>
    <t>10.1039/C8AN01617H</t>
  </si>
  <si>
    <t>https://doi.org/10.1002/bio.3250</t>
  </si>
  <si>
    <t>https://doi.org/10.1021/acsami.1c18523</t>
  </si>
  <si>
    <t>https://doi.org/10.1021/acsami.1c12611</t>
  </si>
  <si>
    <t>https://doi.org/10.1016/j.snb.2018.09.072</t>
  </si>
  <si>
    <t>https://doi.org/10.1039/B920748A</t>
  </si>
  <si>
    <t>https://doi.org/10.1021/ac503636j</t>
  </si>
  <si>
    <t>https://doi.org/10.1016/j.jcis.2024.11.019</t>
  </si>
  <si>
    <t>doi.org/10.1002/slct.202103347
ChemistrySelect 2022, 7, e202103347 (1 of 5) © 2022 Wiley-VCH GmbH</t>
  </si>
  <si>
    <t>https://doi.org/10.1016/j.foodchem.2024.140550</t>
  </si>
  <si>
    <t>https://doi.org/10.1016/j.foodchem.2024.140341</t>
  </si>
  <si>
    <t>https://doi.org/10.1016/j.snb.2024.136239</t>
  </si>
  <si>
    <t>https://doi.org/10.1016/j.snb.2022.131469</t>
  </si>
  <si>
    <t>https://doi.org/10.1016/j.snb.2024.136239.</t>
  </si>
  <si>
    <t>https://doi.org/10.1016/j.snb.2024.136069</t>
  </si>
  <si>
    <t>https://doi.org/10.1016/j.snb.2024.136070</t>
  </si>
  <si>
    <t>https://doi.org/10.1016/j.snb.2024.136071</t>
  </si>
  <si>
    <t>https://doi.org/10.1039/D4NR03278K</t>
  </si>
  <si>
    <t>https://doi.org/10.1016/j.ijbiomac.2024.134307</t>
  </si>
  <si>
    <t>https://doi.org/10.1016/j.talanta.2024.126526</t>
  </si>
  <si>
    <t>https://doi.org/10.1016/j.talanta.2024.126434</t>
  </si>
  <si>
    <t>https://doi.org/10.1021/acs.jpclett.4c01352</t>
  </si>
  <si>
    <t>10.1007/s00604-024-06484-0</t>
  </si>
  <si>
    <t xml:space="preserve">https://doi.org/10.1007/s44211-024-00587-7 </t>
  </si>
  <si>
    <t>https://doi.org/10.1007/s00604-024-06465-3</t>
  </si>
  <si>
    <t>https://doi.org/10.3390/ijms25115971</t>
  </si>
  <si>
    <t>10.1016/j.foodchem.2024.138389</t>
  </si>
  <si>
    <t>https://doi.org/10.1016/j.microc.2024.110322</t>
  </si>
  <si>
    <t>https://doi.org/10.1016/j.microc.2024.110072</t>
  </si>
  <si>
    <t>10.1016/j.inoche.2024.112115</t>
  </si>
  <si>
    <t>https://doi.org/10.1007/s00604-024-06179-6</t>
  </si>
  <si>
    <t>https://doi.org/10.1007/s00216-023-05103-w</t>
  </si>
  <si>
    <t>https://doi.org/10.1016/j.foodchem.2023.137067</t>
  </si>
  <si>
    <t>https://doi.org/10.1016/j.saa.2023.123255</t>
  </si>
  <si>
    <t>https://doi.org/10.1002/cctc.202401505</t>
  </si>
  <si>
    <t>https://doi.org/10.1016/j.jece.2023.111546</t>
  </si>
  <si>
    <t>https://doi.org/10.1016/j.talanta.2023.124773</t>
  </si>
  <si>
    <t>https://doi.org/10.1039/D3NR02273K</t>
  </si>
  <si>
    <t>https://doi.org/10.1007/s00216-023-04717-4</t>
  </si>
  <si>
    <t>https://doi.org/10.1016/j.microc.2023.108725</t>
  </si>
  <si>
    <t>https://doi.org/10.1016/j.ica.2023.121431</t>
  </si>
  <si>
    <t>https://doi.org/10.1039/D4AY00877D</t>
  </si>
  <si>
    <t>https://doi.org/10.1021/acsomega.2c07663</t>
  </si>
  <si>
    <t>https://doi.org/10.1007/s00604-023-05677-3</t>
  </si>
  <si>
    <t>https://doi.org/10.3390/nano13040662</t>
  </si>
  <si>
    <t>https://doi.org/10.1021/acs.bioconjchem.2c00529</t>
  </si>
  <si>
    <t>https://doi.org/10.1016/j.jhazmat.2022.129890</t>
  </si>
  <si>
    <t>https://doi.org/10.3390/bios13010035</t>
  </si>
  <si>
    <t>https://doi.org/10.1016/j.aca.2022.340579</t>
  </si>
  <si>
    <t>https://doi.org/10.1016/j.snb.2022.132744</t>
  </si>
  <si>
    <t>https://doi.org/10.1016/j.microc.2022.108049</t>
  </si>
  <si>
    <t>https://doi.org/10.1016/j.microc.2022.107877</t>
  </si>
  <si>
    <t>https://doi.org/10.1002/jccs.202200263</t>
  </si>
  <si>
    <t>10.1016/j.snb.2022.132046</t>
  </si>
  <si>
    <t>https://doi.org/10.1007/s00604-022-05440-0</t>
  </si>
  <si>
    <t>https://doi.org/10.1016/j.foodchem.2022.132836</t>
  </si>
  <si>
    <t>https://doi.org/10.1016/j.snb.2022.131610</t>
  </si>
  <si>
    <t>https://doi.org/10.1016/j.talanta.2025.127649</t>
  </si>
  <si>
    <t>10.1016/j.microc.2025.112738</t>
  </si>
  <si>
    <t>https://doi.org/10.1016/j.microc.2025.112717</t>
  </si>
  <si>
    <t>https://doi.org/10.1021/acs.analchem.4c05296</t>
  </si>
  <si>
    <t>https://doi.org/10.1016/j.microc.2024.112457</t>
  </si>
  <si>
    <t>https://doi.org/10.1016/j.jphotochem.2024.116240</t>
  </si>
  <si>
    <t xml:space="preserve"> https://doi.org/10.1002/cctc.202401505</t>
  </si>
  <si>
    <t>10.1016/j.colsurfa.2018.03.059</t>
  </si>
  <si>
    <t>https://doi.org/10.1016/j.cej.2024.158294</t>
  </si>
  <si>
    <t>https://doi.org/10.1186/s12951-024-02654-7</t>
  </si>
  <si>
    <t>10.1021/acsnano.4c11509</t>
  </si>
  <si>
    <t>10.1021/la9038842</t>
  </si>
  <si>
    <t>10.1021/la9038843</t>
  </si>
  <si>
    <t>10.1021/la9038844</t>
  </si>
  <si>
    <t>10.1021/la9038845</t>
  </si>
  <si>
    <t>10.1021/la9038846</t>
  </si>
  <si>
    <t>10.1021/la9038847</t>
  </si>
  <si>
    <t>DOI	https://doi.org/10.1039/C2NR30653K</t>
  </si>
  <si>
    <t>10.1021/jp2093737</t>
  </si>
  <si>
    <t>https://doi.org/10.1021/ja900386s</t>
  </si>
  <si>
    <t>https://pubs.acs.org/doi/10.1021/ac300332t</t>
  </si>
  <si>
    <t>https://doi.org/10.1039/C2NR30169E</t>
  </si>
  <si>
    <t>https://doi.org/10.1016/j.talanta.2013.09.034</t>
  </si>
  <si>
    <t>https://doi.org/10.1016/j.aca.2013.01.042</t>
  </si>
  <si>
    <t>https://pubs.acs.org/doi/10.1021/jp404952x</t>
  </si>
  <si>
    <t>https://pubs.acs.org/doi/10.1021/jp810893w</t>
  </si>
  <si>
    <t>https://doi.org/10.1039/C3CC45494K</t>
  </si>
  <si>
    <t>10.1039/c3cc45494k</t>
  </si>
  <si>
    <t>https://doi.org/10.1002/wnan.1245</t>
  </si>
  <si>
    <t>https://pubs.acs.org/doi/10.1021/nn202860s</t>
  </si>
  <si>
    <t>doi/10.1021/ac500528m</t>
  </si>
  <si>
    <t>https://doi.org/10.1016/j.bios.2013.12.003</t>
  </si>
  <si>
    <t>10.1007/s00604-014-1253-2</t>
  </si>
  <si>
    <t>10.1002/chem.201403202</t>
  </si>
  <si>
    <t>https://doi.org/10.1039/C3TB20784F</t>
  </si>
  <si>
    <t>DOI: 10.1039/c4ra03363a</t>
  </si>
  <si>
    <t>https://doi.org/10.1039/C4AN00383G</t>
  </si>
  <si>
    <t>https://doi.org/10.1016/j.bios.2014.03.045</t>
  </si>
  <si>
    <t>10.1002/smll.201401658</t>
  </si>
  <si>
    <t>https://doi.org/10.1016/j.aca.2014.09.029</t>
  </si>
  <si>
    <t>https://doi.org/10.1016/j.snb.2015.01.115</t>
  </si>
  <si>
    <t>https://doi.org/10.1021/acsami.5b00269</t>
  </si>
  <si>
    <t>10.1002/adfm.201403095</t>
  </si>
  <si>
    <t>10.1007/s00604-015-1475-y</t>
  </si>
  <si>
    <t>10.1039/c5tc00290g</t>
  </si>
  <si>
    <t>10.1039/C5AN01378J</t>
  </si>
  <si>
    <t>https://doi.org/10.1021/acs.analchem.5b00468</t>
  </si>
  <si>
    <t>https://doi.org/10.1016/j.bios.2014.08.037</t>
  </si>
  <si>
    <t>https://doi.org/10.1039/C5AN01356A</t>
  </si>
  <si>
    <t>10.1038/srep15608</t>
  </si>
  <si>
    <t>https://doi.org/10.1039/C5NR04826E</t>
  </si>
  <si>
    <t xml:space="preserve"> https://doi.org/10.1002/cphc.201500731</t>
  </si>
  <si>
    <t>https://doi.org/10.1039/C6CP00538A</t>
  </si>
  <si>
    <t>https://doi.org/10.1039/C6RA10409F</t>
  </si>
  <si>
    <t>https://doi.org/10.1039/C5RA20113F</t>
  </si>
  <si>
    <t>https://doi.org/10.1039/C5TB02195B</t>
  </si>
  <si>
    <t>https://doi.org/10.1021/ja306199p</t>
  </si>
  <si>
    <t>10.1002/cphc.201501163</t>
  </si>
  <si>
    <t>10.1080/00032719.2016.1143477</t>
  </si>
  <si>
    <t> https://doi.org/10.1166/jnn.2016.13772</t>
  </si>
  <si>
    <t>10.1039/c6nj03155b</t>
  </si>
  <si>
    <t>10.1039/C7NJ00175D</t>
  </si>
  <si>
    <t>https://doi.org/10.1166/jbn.2017.2344</t>
  </si>
  <si>
    <t xml:space="preserve"> https://doi.org/10.1002/ppsc.201600388</t>
  </si>
  <si>
    <t>https://doi.org/10.1016/j.apsusc.2017.05.193</t>
  </si>
  <si>
    <t>https://doi.org/10.1039/C7RA13072D</t>
  </si>
  <si>
    <t>https://doi.org/10.1021/acs.jpcc.7b09500</t>
  </si>
  <si>
    <t>https://doi.org/10.1039/C8NJ01528G</t>
  </si>
  <si>
    <t>https://pubs.rsc.org/en/content/articlelanding/2018/tb/c8tb00791h</t>
  </si>
  <si>
    <t>https://pubs.rsc.org/en/content/articlelanding/2018/ra/c8ra02118j</t>
  </si>
  <si>
    <t>https://doi.org/10.1016/j.saa.2017.08.025</t>
  </si>
  <si>
    <t>10.1021/acssuschemeng.7b03794</t>
  </si>
  <si>
    <t>https://doi.org/10.1016/j.talanta.2017.11.057</t>
  </si>
  <si>
    <t>https://doi.org/10.1021/acsomega.7b01914</t>
  </si>
  <si>
    <t>https://doi.org/10.1021/acs.langmuir.8b00067</t>
  </si>
  <si>
    <t>https://sci-hub.st/10.1002/anie.201712878</t>
  </si>
  <si>
    <t>https://doi.org/10.1016/j.talanta.2017.12.047</t>
  </si>
  <si>
    <t>https://sci-hub.st/10.1002/ppsc.201700471</t>
  </si>
  <si>
    <t>https://doi.org/10.1021/acsnano.5b07596</t>
  </si>
  <si>
    <t>https://doi.org/10.1016/j.snb.2017.06.136</t>
  </si>
  <si>
    <t>10.1038/srep32218</t>
  </si>
  <si>
    <t>10.1002/adom.201600212</t>
  </si>
  <si>
    <t>https://doi.org/10.1016/j.snb.2016.08.147</t>
  </si>
  <si>
    <t>https://doi.org/10.1016/j.biomaterials.2016.11.050</t>
  </si>
  <si>
    <t>https://doi.org/10.1039/C7NJ02465G</t>
  </si>
  <si>
    <t>https://doi.org/10.1039/C7CC05409B</t>
  </si>
  <si>
    <t>https://doi.org/10.1021/acs.langmuir.7b02614</t>
  </si>
  <si>
    <t>10.1002/cphc.201701186</t>
  </si>
  <si>
    <t>RT</t>
  </si>
  <si>
    <t>Entry</t>
  </si>
  <si>
    <r>
      <t>λ</t>
    </r>
    <r>
      <rPr>
        <b/>
        <vertAlign val="subscript"/>
        <sz val="12"/>
        <color theme="1"/>
        <rFont val="Times New Roman"/>
        <family val="1"/>
      </rPr>
      <t>exc</t>
    </r>
    <r>
      <rPr>
        <b/>
        <sz val="12"/>
        <color theme="1"/>
        <rFont val="Times New Roman"/>
        <family val="1"/>
      </rPr>
      <t xml:space="preserve"> (nm)</t>
    </r>
  </si>
  <si>
    <r>
      <t>λ</t>
    </r>
    <r>
      <rPr>
        <b/>
        <vertAlign val="subscript"/>
        <sz val="12"/>
        <color theme="1"/>
        <rFont val="Times New Roman"/>
        <family val="1"/>
      </rPr>
      <t>em</t>
    </r>
    <r>
      <rPr>
        <b/>
        <sz val="12"/>
        <color theme="1"/>
        <rFont val="Times New Roman"/>
        <family val="1"/>
      </rPr>
      <t xml:space="preserve"> (nm)</t>
    </r>
  </si>
  <si>
    <t>Measuring Solvent</t>
  </si>
  <si>
    <t>https://doi.org/10.1063/1.4977203</t>
  </si>
  <si>
    <t>https://pubs.acs.org/doi/full/10.1021/ja042218h</t>
  </si>
  <si>
    <t>Au atoms</t>
  </si>
  <si>
    <t>alkanethiol </t>
  </si>
  <si>
    <t>PEG-COOH</t>
  </si>
  <si>
    <t>Chitosan (amine)</t>
  </si>
  <si>
    <t>dithiothreitol (thiol) </t>
  </si>
  <si>
    <t>thiocholine chloride (thiol)</t>
  </si>
  <si>
    <t>4-tert-butylbenzenethiolate (thiol)</t>
  </si>
  <si>
    <t>alkanethiol and tetrakis (hydroxymethyl) phosphonium chloride</t>
  </si>
  <si>
    <t>800 W</t>
  </si>
  <si>
    <t>800W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</si>
</sst>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6" fillId="0" borderId="9" xfId="1" applyFont="1" applyBorder="1" applyAlignment="1" applyProtection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/>
    </xf>
    <xf numFmtId="0" fontId="6" fillId="0" borderId="9" xfId="1" applyFont="1" applyBorder="1"/>
    <xf numFmtId="0" fontId="6" fillId="0" borderId="9" xfId="1" applyFont="1" applyBorder="1" applyAlignment="1">
      <alignment horizontal="left" vertical="center"/>
    </xf>
    <xf numFmtId="0" fontId="6" fillId="0" borderId="9" xfId="1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9" xfId="1" applyBorder="1" applyAlignment="1" applyProtection="1">
      <alignment horizontal="left" vertical="center" wrapText="1"/>
    </xf>
    <xf numFmtId="0" fontId="1" fillId="0" borderId="9" xfId="1" applyBorder="1" applyAlignment="1">
      <alignment horizontal="left" vertical="center"/>
    </xf>
    <xf numFmtId="1" fontId="5" fillId="0" borderId="5" xfId="0" applyNumberFormat="1" applyFont="1" applyBorder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0" fontId="1" fillId="0" borderId="9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39/C6CP00538A" TargetMode="External"/><Relationship Id="rId21" Type="http://schemas.openxmlformats.org/officeDocument/2006/relationships/hyperlink" Target="https://doi.org/10.1021/acsami.1c12611" TargetMode="External"/><Relationship Id="rId42" Type="http://schemas.openxmlformats.org/officeDocument/2006/relationships/hyperlink" Target="https://doi.org/10.1016/j.foodchem.2023.137067" TargetMode="External"/><Relationship Id="rId63" Type="http://schemas.openxmlformats.org/officeDocument/2006/relationships/hyperlink" Target="https://doi.org/10.1016/j.jhazmat.2022.129890" TargetMode="External"/><Relationship Id="rId84" Type="http://schemas.openxmlformats.org/officeDocument/2006/relationships/hyperlink" Target="https://doi.org/10.1016/j.jphotochem.2024.116240" TargetMode="External"/><Relationship Id="rId138" Type="http://schemas.openxmlformats.org/officeDocument/2006/relationships/hyperlink" Target="https://sci-hub.st/10.1002/ppsc.201700471" TargetMode="External"/><Relationship Id="rId107" Type="http://schemas.openxmlformats.org/officeDocument/2006/relationships/hyperlink" Target="https://doi.org/10.1021/acsami.5b00269" TargetMode="External"/><Relationship Id="rId11" Type="http://schemas.openxmlformats.org/officeDocument/2006/relationships/hyperlink" Target="https://doi.org/10.1016/j.jfca.2024.106591" TargetMode="External"/><Relationship Id="rId32" Type="http://schemas.openxmlformats.org/officeDocument/2006/relationships/hyperlink" Target="https://doi.org/10.1016/j.snb.2024.136239." TargetMode="External"/><Relationship Id="rId53" Type="http://schemas.openxmlformats.org/officeDocument/2006/relationships/hyperlink" Target="https://doi.org/10.1016/j.ica.2023.121431" TargetMode="External"/><Relationship Id="rId74" Type="http://schemas.openxmlformats.org/officeDocument/2006/relationships/hyperlink" Target="https://doi.org/10.1007/s00604-022-05440-0" TargetMode="External"/><Relationship Id="rId128" Type="http://schemas.openxmlformats.org/officeDocument/2006/relationships/hyperlink" Target="https://doi.org/10.1166/jbn.2017.2344" TargetMode="External"/><Relationship Id="rId149" Type="http://schemas.openxmlformats.org/officeDocument/2006/relationships/hyperlink" Target="https://pubs.acs.org/doi/full/10.1021/ja042218h" TargetMode="External"/><Relationship Id="rId5" Type="http://schemas.openxmlformats.org/officeDocument/2006/relationships/hyperlink" Target="https://doi.org/10.1016/j.microc.2021.107163" TargetMode="External"/><Relationship Id="rId95" Type="http://schemas.openxmlformats.org/officeDocument/2006/relationships/hyperlink" Target="https://doi.org/10.1039/C3CC45494K" TargetMode="External"/><Relationship Id="rId22" Type="http://schemas.openxmlformats.org/officeDocument/2006/relationships/hyperlink" Target="https://doi.org/10.1016/j.snb.2018.09.072" TargetMode="External"/><Relationship Id="rId27" Type="http://schemas.openxmlformats.org/officeDocument/2006/relationships/hyperlink" Target="https://doi.org/10.1016/j.jcis.2024.11.019" TargetMode="External"/><Relationship Id="rId43" Type="http://schemas.openxmlformats.org/officeDocument/2006/relationships/hyperlink" Target="https://doi.org/10.1016/j.saa.2023.123255" TargetMode="External"/><Relationship Id="rId48" Type="http://schemas.openxmlformats.org/officeDocument/2006/relationships/hyperlink" Target="https://doi.org/10.1007/s00216-023-04717-4" TargetMode="External"/><Relationship Id="rId64" Type="http://schemas.openxmlformats.org/officeDocument/2006/relationships/hyperlink" Target="https://doi.org/10.1016/j.aca.2022.340579" TargetMode="External"/><Relationship Id="rId69" Type="http://schemas.openxmlformats.org/officeDocument/2006/relationships/hyperlink" Target="https://doi.org/10.1002/jccs.202200263" TargetMode="External"/><Relationship Id="rId113" Type="http://schemas.openxmlformats.org/officeDocument/2006/relationships/hyperlink" Target="https://doi.org/10.1021/acs.analchem.5b00468" TargetMode="External"/><Relationship Id="rId118" Type="http://schemas.openxmlformats.org/officeDocument/2006/relationships/hyperlink" Target="https://doi.org/10.1016/j.bios.2014.08.037" TargetMode="External"/><Relationship Id="rId134" Type="http://schemas.openxmlformats.org/officeDocument/2006/relationships/hyperlink" Target="https://doi.org/10.1021/acsomega.7b01914" TargetMode="External"/><Relationship Id="rId139" Type="http://schemas.openxmlformats.org/officeDocument/2006/relationships/hyperlink" Target="https://doi.org/10.1021/acsnano.5b07596" TargetMode="External"/><Relationship Id="rId80" Type="http://schemas.openxmlformats.org/officeDocument/2006/relationships/hyperlink" Target="https://doi.org/10.1016/j.talanta.2025.127649" TargetMode="External"/><Relationship Id="rId85" Type="http://schemas.openxmlformats.org/officeDocument/2006/relationships/hyperlink" Target="https://doi.org/10.1016/j.cej.2024.158294" TargetMode="External"/><Relationship Id="rId150" Type="http://schemas.openxmlformats.org/officeDocument/2006/relationships/hyperlink" Target="https://doi.org/10.1016/j.ijbiomac.2024.134307" TargetMode="External"/><Relationship Id="rId12" Type="http://schemas.openxmlformats.org/officeDocument/2006/relationships/hyperlink" Target="https://doi.org/10.1016/j.foodchem.2021.130964" TargetMode="External"/><Relationship Id="rId17" Type="http://schemas.openxmlformats.org/officeDocument/2006/relationships/hyperlink" Target="https://doi.org/10.1016/j.jcis.2013.11.011" TargetMode="External"/><Relationship Id="rId33" Type="http://schemas.openxmlformats.org/officeDocument/2006/relationships/hyperlink" Target="https://doi.org/10.1039/D4NR03278K" TargetMode="External"/><Relationship Id="rId38" Type="http://schemas.openxmlformats.org/officeDocument/2006/relationships/hyperlink" Target="https://doi.org/10.1007/s00604-024-06179-6" TargetMode="External"/><Relationship Id="rId59" Type="http://schemas.openxmlformats.org/officeDocument/2006/relationships/hyperlink" Target="https://doi.org/10.1021/acsomega.2c07663" TargetMode="External"/><Relationship Id="rId103" Type="http://schemas.openxmlformats.org/officeDocument/2006/relationships/hyperlink" Target="https://doi.org/10.1039/C3TB20784F" TargetMode="External"/><Relationship Id="rId108" Type="http://schemas.openxmlformats.org/officeDocument/2006/relationships/hyperlink" Target="https://doi.org/10.1016/j.snb.2015.01.115" TargetMode="External"/><Relationship Id="rId124" Type="http://schemas.openxmlformats.org/officeDocument/2006/relationships/hyperlink" Target="https://doi.org/10.1016/j.apsusc.2017.05.193" TargetMode="External"/><Relationship Id="rId129" Type="http://schemas.openxmlformats.org/officeDocument/2006/relationships/hyperlink" Target="https://doi.org/10.1039/C7RA13072D" TargetMode="External"/><Relationship Id="rId54" Type="http://schemas.openxmlformats.org/officeDocument/2006/relationships/hyperlink" Target="https://doi.org/10.1021/acsomega.2c07663" TargetMode="External"/><Relationship Id="rId70" Type="http://schemas.openxmlformats.org/officeDocument/2006/relationships/hyperlink" Target="https://doi.org/10.3390/bios13010035" TargetMode="External"/><Relationship Id="rId75" Type="http://schemas.openxmlformats.org/officeDocument/2006/relationships/hyperlink" Target="https://doi.org/10.1007/s00604-022-05440-0" TargetMode="External"/><Relationship Id="rId91" Type="http://schemas.openxmlformats.org/officeDocument/2006/relationships/hyperlink" Target="https://doi.org/10.1016/j.talanta.2013.09.034" TargetMode="External"/><Relationship Id="rId96" Type="http://schemas.openxmlformats.org/officeDocument/2006/relationships/hyperlink" Target="https://doi.org/10.1002/wnan.1245" TargetMode="External"/><Relationship Id="rId140" Type="http://schemas.openxmlformats.org/officeDocument/2006/relationships/hyperlink" Target="https://doi.org/10.1016/j.snb.2017.06.136" TargetMode="External"/><Relationship Id="rId145" Type="http://schemas.openxmlformats.org/officeDocument/2006/relationships/hyperlink" Target="https://doi.org/10.1021/acs.langmuir.7b02614" TargetMode="External"/><Relationship Id="rId1" Type="http://schemas.openxmlformats.org/officeDocument/2006/relationships/hyperlink" Target="https://doi.org/10.1039/D2AN00369D" TargetMode="External"/><Relationship Id="rId6" Type="http://schemas.openxmlformats.org/officeDocument/2006/relationships/hyperlink" Target="https://doi.org/10.1016/j.foodchem.2024.141120" TargetMode="External"/><Relationship Id="rId23" Type="http://schemas.openxmlformats.org/officeDocument/2006/relationships/hyperlink" Target="https://doi.org/10.1016/j.snb.2018.09.072" TargetMode="External"/><Relationship Id="rId28" Type="http://schemas.openxmlformats.org/officeDocument/2006/relationships/hyperlink" Target="https://doi.org/10.1016/j.foodchem.2024.140550" TargetMode="External"/><Relationship Id="rId49" Type="http://schemas.openxmlformats.org/officeDocument/2006/relationships/hyperlink" Target="https://doi.org/10.1016/j.microc.2023.108725" TargetMode="External"/><Relationship Id="rId114" Type="http://schemas.openxmlformats.org/officeDocument/2006/relationships/hyperlink" Target="https://doi.org/10.1039/C5AN01356A" TargetMode="External"/><Relationship Id="rId119" Type="http://schemas.openxmlformats.org/officeDocument/2006/relationships/hyperlink" Target="https://doi.org/10.1039/C6RA10409F" TargetMode="External"/><Relationship Id="rId44" Type="http://schemas.openxmlformats.org/officeDocument/2006/relationships/hyperlink" Target="https://doi.org/10.1002/cctc.202401505" TargetMode="External"/><Relationship Id="rId60" Type="http://schemas.openxmlformats.org/officeDocument/2006/relationships/hyperlink" Target="https://doi.org/10.1007/s00604-023-05677-3" TargetMode="External"/><Relationship Id="rId65" Type="http://schemas.openxmlformats.org/officeDocument/2006/relationships/hyperlink" Target="https://doi.org/10.1016/j.aca.2022.340579" TargetMode="External"/><Relationship Id="rId81" Type="http://schemas.openxmlformats.org/officeDocument/2006/relationships/hyperlink" Target="https://doi.org/10.1016/j.microc.2025.112717" TargetMode="External"/><Relationship Id="rId86" Type="http://schemas.openxmlformats.org/officeDocument/2006/relationships/hyperlink" Target="https://doi.org/10.1186/s12951-024-02654-7" TargetMode="External"/><Relationship Id="rId130" Type="http://schemas.openxmlformats.org/officeDocument/2006/relationships/hyperlink" Target="https://doi.org/10.1039/C8NJ01528G" TargetMode="External"/><Relationship Id="rId135" Type="http://schemas.openxmlformats.org/officeDocument/2006/relationships/hyperlink" Target="https://doi.org/10.1021/acs.langmuir.8b00067" TargetMode="External"/><Relationship Id="rId151" Type="http://schemas.openxmlformats.org/officeDocument/2006/relationships/hyperlink" Target="https://doi.org/10.1007/s00604-024-06465-3" TargetMode="External"/><Relationship Id="rId13" Type="http://schemas.openxmlformats.org/officeDocument/2006/relationships/hyperlink" Target="https://doi.org/10.1039/B916919A" TargetMode="External"/><Relationship Id="rId18" Type="http://schemas.openxmlformats.org/officeDocument/2006/relationships/hyperlink" Target="https://doi.org/10.1021/nn202860s" TargetMode="External"/><Relationship Id="rId39" Type="http://schemas.openxmlformats.org/officeDocument/2006/relationships/hyperlink" Target="https://doi.org/10.1007/s00604-024-06179-6" TargetMode="External"/><Relationship Id="rId109" Type="http://schemas.openxmlformats.org/officeDocument/2006/relationships/hyperlink" Target="https://doi.org/10.1016/j.bios.2014.03.045" TargetMode="External"/><Relationship Id="rId34" Type="http://schemas.openxmlformats.org/officeDocument/2006/relationships/hyperlink" Target="https://doi.org/10.1039/D4NR03278K" TargetMode="External"/><Relationship Id="rId50" Type="http://schemas.openxmlformats.org/officeDocument/2006/relationships/hyperlink" Target="https://doi.org/10.1016/j.ica.2023.121431" TargetMode="External"/><Relationship Id="rId55" Type="http://schemas.openxmlformats.org/officeDocument/2006/relationships/hyperlink" Target="https://doi.org/10.1021/acsomega.2c07663" TargetMode="External"/><Relationship Id="rId76" Type="http://schemas.openxmlformats.org/officeDocument/2006/relationships/hyperlink" Target="https://doi.org/10.1007/s00604-022-05440-0" TargetMode="External"/><Relationship Id="rId97" Type="http://schemas.openxmlformats.org/officeDocument/2006/relationships/hyperlink" Target="https://doi.org/10.1002/wnan.1245" TargetMode="External"/><Relationship Id="rId104" Type="http://schemas.openxmlformats.org/officeDocument/2006/relationships/hyperlink" Target="https://doi.org/10.1039/C4AN00383G" TargetMode="External"/><Relationship Id="rId120" Type="http://schemas.openxmlformats.org/officeDocument/2006/relationships/hyperlink" Target="https://doi.org/10.1039/C5RA20113F" TargetMode="External"/><Relationship Id="rId125" Type="http://schemas.openxmlformats.org/officeDocument/2006/relationships/hyperlink" Target="https://doi.org/10.1021/acs.jpcc.7b09500" TargetMode="External"/><Relationship Id="rId141" Type="http://schemas.openxmlformats.org/officeDocument/2006/relationships/hyperlink" Target="https://doi.org/10.1016/j.snb.2016.08.147" TargetMode="External"/><Relationship Id="rId146" Type="http://schemas.openxmlformats.org/officeDocument/2006/relationships/hyperlink" Target="https://doi.org/10.1039/C6CP00538A" TargetMode="External"/><Relationship Id="rId7" Type="http://schemas.openxmlformats.org/officeDocument/2006/relationships/hyperlink" Target="https://doi.org/10.1039/D2AY00195K" TargetMode="External"/><Relationship Id="rId71" Type="http://schemas.openxmlformats.org/officeDocument/2006/relationships/hyperlink" Target="https://doi.org/10.1007/s00604-022-05440-0" TargetMode="External"/><Relationship Id="rId92" Type="http://schemas.openxmlformats.org/officeDocument/2006/relationships/hyperlink" Target="https://doi.org/10.1016/j.aca.2013.01.042" TargetMode="External"/><Relationship Id="rId2" Type="http://schemas.openxmlformats.org/officeDocument/2006/relationships/hyperlink" Target="https://doi.org/10.1016/j.foodchem.2024.138738" TargetMode="External"/><Relationship Id="rId29" Type="http://schemas.openxmlformats.org/officeDocument/2006/relationships/hyperlink" Target="https://doi.org/10.1016/j.foodchem.2024.140550" TargetMode="External"/><Relationship Id="rId24" Type="http://schemas.openxmlformats.org/officeDocument/2006/relationships/hyperlink" Target="https://doi.org/10.1039/B920748A" TargetMode="External"/><Relationship Id="rId40" Type="http://schemas.openxmlformats.org/officeDocument/2006/relationships/hyperlink" Target="https://doi.org/10.1007/s00216-023-05103-w" TargetMode="External"/><Relationship Id="rId45" Type="http://schemas.openxmlformats.org/officeDocument/2006/relationships/hyperlink" Target="https://doi.org/10.1016/j.jece.2023.111546" TargetMode="External"/><Relationship Id="rId66" Type="http://schemas.openxmlformats.org/officeDocument/2006/relationships/hyperlink" Target="https://doi.org/10.1016/j.snb.2022.132744" TargetMode="External"/><Relationship Id="rId87" Type="http://schemas.openxmlformats.org/officeDocument/2006/relationships/hyperlink" Target="https://pubs.acs.org/doi/10.1021/acsnano.4c11509" TargetMode="External"/><Relationship Id="rId110" Type="http://schemas.openxmlformats.org/officeDocument/2006/relationships/hyperlink" Target="https://sci-hub.st/10.1002/adfm.201403095" TargetMode="External"/><Relationship Id="rId115" Type="http://schemas.openxmlformats.org/officeDocument/2006/relationships/hyperlink" Target="https://doi.org/10.1039/C5AN01356A" TargetMode="External"/><Relationship Id="rId131" Type="http://schemas.openxmlformats.org/officeDocument/2006/relationships/hyperlink" Target="https://doi.org/10.1016/j.saa.2017.08.025" TargetMode="External"/><Relationship Id="rId136" Type="http://schemas.openxmlformats.org/officeDocument/2006/relationships/hyperlink" Target="https://sci-hub.st/10.1002/anie.201712878" TargetMode="External"/><Relationship Id="rId61" Type="http://schemas.openxmlformats.org/officeDocument/2006/relationships/hyperlink" Target="https://doi.org/10.3390/nano13040662" TargetMode="External"/><Relationship Id="rId82" Type="http://schemas.openxmlformats.org/officeDocument/2006/relationships/hyperlink" Target="https://doi.org/10.1021/acs.analchem.4c05296" TargetMode="External"/><Relationship Id="rId152" Type="http://schemas.openxmlformats.org/officeDocument/2006/relationships/printerSettings" Target="../printerSettings/printerSettings1.bin"/><Relationship Id="rId19" Type="http://schemas.openxmlformats.org/officeDocument/2006/relationships/hyperlink" Target="https://doi.org/10.1002/bio.3250" TargetMode="External"/><Relationship Id="rId14" Type="http://schemas.openxmlformats.org/officeDocument/2006/relationships/hyperlink" Target="https://doi.org/10.1002/smll.201300213" TargetMode="External"/><Relationship Id="rId30" Type="http://schemas.openxmlformats.org/officeDocument/2006/relationships/hyperlink" Target="https://doi.org/10.1016/j.foodchem.2024.140341" TargetMode="External"/><Relationship Id="rId35" Type="http://schemas.openxmlformats.org/officeDocument/2006/relationships/hyperlink" Target="https://doi.org/10.1007/s00604-024-06484-0" TargetMode="External"/><Relationship Id="rId56" Type="http://schemas.openxmlformats.org/officeDocument/2006/relationships/hyperlink" Target="https://doi.org/10.1021/acsomega.2c07663" TargetMode="External"/><Relationship Id="rId77" Type="http://schemas.openxmlformats.org/officeDocument/2006/relationships/hyperlink" Target="https://doi.org/10.1016/j.foodchem.2022.132836" TargetMode="External"/><Relationship Id="rId100" Type="http://schemas.openxmlformats.org/officeDocument/2006/relationships/hyperlink" Target="https://pubs.acs.org/doi/10.1021/ac500528m" TargetMode="External"/><Relationship Id="rId105" Type="http://schemas.openxmlformats.org/officeDocument/2006/relationships/hyperlink" Target="https://sci-hub.st/10.1002/smll.201401658" TargetMode="External"/><Relationship Id="rId126" Type="http://schemas.openxmlformats.org/officeDocument/2006/relationships/hyperlink" Target="https://pubs.rsc.org/en/content/articlelanding/2018/tb/c8tb00791h" TargetMode="External"/><Relationship Id="rId147" Type="http://schemas.openxmlformats.org/officeDocument/2006/relationships/hyperlink" Target="https://doi.org/10.1039/C6CP00538A" TargetMode="External"/><Relationship Id="rId8" Type="http://schemas.openxmlformats.org/officeDocument/2006/relationships/hyperlink" Target="https://doi.org/10.1016/j.cclet.2021.07.073" TargetMode="External"/><Relationship Id="rId51" Type="http://schemas.openxmlformats.org/officeDocument/2006/relationships/hyperlink" Target="https://doi.org/10.1016/j.ica.2023.121431" TargetMode="External"/><Relationship Id="rId72" Type="http://schemas.openxmlformats.org/officeDocument/2006/relationships/hyperlink" Target="https://doi.org/10.1007/s00604-022-05440-0" TargetMode="External"/><Relationship Id="rId93" Type="http://schemas.openxmlformats.org/officeDocument/2006/relationships/hyperlink" Target="https://pubs.acs.org/doi/10.1021/jp404952x" TargetMode="External"/><Relationship Id="rId98" Type="http://schemas.openxmlformats.org/officeDocument/2006/relationships/hyperlink" Target="https://doi.org/10.1002/wnan.1245" TargetMode="External"/><Relationship Id="rId121" Type="http://schemas.openxmlformats.org/officeDocument/2006/relationships/hyperlink" Target="https://doi.org/10.1039/C5TB02195B" TargetMode="External"/><Relationship Id="rId142" Type="http://schemas.openxmlformats.org/officeDocument/2006/relationships/hyperlink" Target="https://doi.org/10.1016/j.biomaterials.2016.11.050" TargetMode="External"/><Relationship Id="rId3" Type="http://schemas.openxmlformats.org/officeDocument/2006/relationships/hyperlink" Target="https://doi.org/10.1016/j.aca.2023.341372" TargetMode="External"/><Relationship Id="rId25" Type="http://schemas.openxmlformats.org/officeDocument/2006/relationships/hyperlink" Target="https://doi.org/10.1021/ac503636j" TargetMode="External"/><Relationship Id="rId46" Type="http://schemas.openxmlformats.org/officeDocument/2006/relationships/hyperlink" Target="https://doi.org/10.1016/j.talanta.2023.124773" TargetMode="External"/><Relationship Id="rId67" Type="http://schemas.openxmlformats.org/officeDocument/2006/relationships/hyperlink" Target="https://doi.org/10.1016/j.microc.2022.108049" TargetMode="External"/><Relationship Id="rId116" Type="http://schemas.openxmlformats.org/officeDocument/2006/relationships/hyperlink" Target="https://doi.org/10.1039/C5NR04826E" TargetMode="External"/><Relationship Id="rId137" Type="http://schemas.openxmlformats.org/officeDocument/2006/relationships/hyperlink" Target="https://doi.org/10.1016/j.talanta.2017.12.047" TargetMode="External"/><Relationship Id="rId20" Type="http://schemas.openxmlformats.org/officeDocument/2006/relationships/hyperlink" Target="https://doi.org/10.1021/acsami.1c18523" TargetMode="External"/><Relationship Id="rId41" Type="http://schemas.openxmlformats.org/officeDocument/2006/relationships/hyperlink" Target="https://doi.org/10.1007/s00604-024-06179-6" TargetMode="External"/><Relationship Id="rId62" Type="http://schemas.openxmlformats.org/officeDocument/2006/relationships/hyperlink" Target="https://doi.org/10.1021/acs.bioconjchem.2c00529" TargetMode="External"/><Relationship Id="rId83" Type="http://schemas.openxmlformats.org/officeDocument/2006/relationships/hyperlink" Target="https://doi.org/10.1016/j.microc.2024.112457" TargetMode="External"/><Relationship Id="rId88" Type="http://schemas.openxmlformats.org/officeDocument/2006/relationships/hyperlink" Target="https://doi.org/10.1021/ja900386s" TargetMode="External"/><Relationship Id="rId111" Type="http://schemas.openxmlformats.org/officeDocument/2006/relationships/hyperlink" Target="https://sci-hub.st/10.1039/c5tc00290g" TargetMode="External"/><Relationship Id="rId132" Type="http://schemas.openxmlformats.org/officeDocument/2006/relationships/hyperlink" Target="https://pubs.acs.org/doi/10.1021/acssuschemeng.7b03794" TargetMode="External"/><Relationship Id="rId15" Type="http://schemas.openxmlformats.org/officeDocument/2006/relationships/hyperlink" Target="https://doi.org/10.1007/s00604-019-4090-5" TargetMode="External"/><Relationship Id="rId36" Type="http://schemas.openxmlformats.org/officeDocument/2006/relationships/hyperlink" Target="https://doi.org/10.1016/j.microc.2024.110322" TargetMode="External"/><Relationship Id="rId57" Type="http://schemas.openxmlformats.org/officeDocument/2006/relationships/hyperlink" Target="https://doi.org/10.1021/acsomega.2c07663" TargetMode="External"/><Relationship Id="rId106" Type="http://schemas.openxmlformats.org/officeDocument/2006/relationships/hyperlink" Target="https://doi.org/10.1016/j.aca.2014.09.029" TargetMode="External"/><Relationship Id="rId127" Type="http://schemas.openxmlformats.org/officeDocument/2006/relationships/hyperlink" Target="https://pubs.rsc.org/en/content/articlelanding/2018/ra/c8ra02118j" TargetMode="External"/><Relationship Id="rId10" Type="http://schemas.openxmlformats.org/officeDocument/2006/relationships/hyperlink" Target="https://doi.org/10.1016/j.jfca.2024.106591" TargetMode="External"/><Relationship Id="rId31" Type="http://schemas.openxmlformats.org/officeDocument/2006/relationships/hyperlink" Target="https://doi.org/10.1016/j.snb.2024.136239" TargetMode="External"/><Relationship Id="rId52" Type="http://schemas.openxmlformats.org/officeDocument/2006/relationships/hyperlink" Target="https://doi.org/10.1016/j.ica.2023.121431" TargetMode="External"/><Relationship Id="rId73" Type="http://schemas.openxmlformats.org/officeDocument/2006/relationships/hyperlink" Target="https://doi.org/10.1007/s00604-022-05440-0" TargetMode="External"/><Relationship Id="rId78" Type="http://schemas.openxmlformats.org/officeDocument/2006/relationships/hyperlink" Target="https://doi.org/10.1016/j.foodchem.2022.132836" TargetMode="External"/><Relationship Id="rId94" Type="http://schemas.openxmlformats.org/officeDocument/2006/relationships/hyperlink" Target="https://pubs.acs.org/doi/10.1021/jp810893w" TargetMode="External"/><Relationship Id="rId99" Type="http://schemas.openxmlformats.org/officeDocument/2006/relationships/hyperlink" Target="https://doi.org/10.1016/j.bios.2013.12.003" TargetMode="External"/><Relationship Id="rId101" Type="http://schemas.openxmlformats.org/officeDocument/2006/relationships/hyperlink" Target="https://pubs.acs.org/doi/10.1021/nn202860s" TargetMode="External"/><Relationship Id="rId122" Type="http://schemas.openxmlformats.org/officeDocument/2006/relationships/hyperlink" Target="https://doi.org/10.1021/ja306199p" TargetMode="External"/><Relationship Id="rId143" Type="http://schemas.openxmlformats.org/officeDocument/2006/relationships/hyperlink" Target="https://doi.org/10.1039/C7NJ02465G" TargetMode="External"/><Relationship Id="rId148" Type="http://schemas.openxmlformats.org/officeDocument/2006/relationships/hyperlink" Target="https://doi.org/10.1063/1.4977203" TargetMode="External"/><Relationship Id="rId4" Type="http://schemas.openxmlformats.org/officeDocument/2006/relationships/hyperlink" Target="https://doi.org/10.1016/j.talanta.2024.125905" TargetMode="External"/><Relationship Id="rId9" Type="http://schemas.openxmlformats.org/officeDocument/2006/relationships/hyperlink" Target="https://doi.org/10.1016/j.cclet.2021.07.073" TargetMode="External"/><Relationship Id="rId26" Type="http://schemas.openxmlformats.org/officeDocument/2006/relationships/hyperlink" Target="https://doi.org/10.1021/ac503636j" TargetMode="External"/><Relationship Id="rId47" Type="http://schemas.openxmlformats.org/officeDocument/2006/relationships/hyperlink" Target="https://doi.org/10.1039/D3NR02273K" TargetMode="External"/><Relationship Id="rId68" Type="http://schemas.openxmlformats.org/officeDocument/2006/relationships/hyperlink" Target="https://doi.org/10.1016/j.microc.2022.107877" TargetMode="External"/><Relationship Id="rId89" Type="http://schemas.openxmlformats.org/officeDocument/2006/relationships/hyperlink" Target="https://pubs.acs.org/doi/10.1021/ac300332t" TargetMode="External"/><Relationship Id="rId112" Type="http://schemas.openxmlformats.org/officeDocument/2006/relationships/hyperlink" Target="https://sci-hub.st/10.1039/C5AN01378J" TargetMode="External"/><Relationship Id="rId133" Type="http://schemas.openxmlformats.org/officeDocument/2006/relationships/hyperlink" Target="https://doi.org/10.1016/j.talanta.2017.11.057" TargetMode="External"/><Relationship Id="rId16" Type="http://schemas.openxmlformats.org/officeDocument/2006/relationships/hyperlink" Target="https://doi.org/10.1007/s11051-010-9935-0" TargetMode="External"/><Relationship Id="rId37" Type="http://schemas.openxmlformats.org/officeDocument/2006/relationships/hyperlink" Target="https://doi.org/10.1016/j.microc.2024.110072" TargetMode="External"/><Relationship Id="rId58" Type="http://schemas.openxmlformats.org/officeDocument/2006/relationships/hyperlink" Target="https://doi.org/10.1021/acsomega.2c07663" TargetMode="External"/><Relationship Id="rId79" Type="http://schemas.openxmlformats.org/officeDocument/2006/relationships/hyperlink" Target="https://doi.org/10.1016/j.snb.2022.131610" TargetMode="External"/><Relationship Id="rId102" Type="http://schemas.openxmlformats.org/officeDocument/2006/relationships/hyperlink" Target="https://pubs.acs.org/doi/10.1021/nn202860s" TargetMode="External"/><Relationship Id="rId123" Type="http://schemas.openxmlformats.org/officeDocument/2006/relationships/hyperlink" Target="https://doi.org/10.1166/jbn.2017.2344" TargetMode="External"/><Relationship Id="rId144" Type="http://schemas.openxmlformats.org/officeDocument/2006/relationships/hyperlink" Target="https://doi.org/10.1039/C7CC05409B" TargetMode="External"/><Relationship Id="rId90" Type="http://schemas.openxmlformats.org/officeDocument/2006/relationships/hyperlink" Target="https://doi.org/10.1039/C2NR30169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23EBD-118D-44CD-BF73-1278EE6DF9C8}">
  <sheetPr filterMode="1">
    <pageSetUpPr fitToPage="1"/>
  </sheetPr>
  <dimension ref="A1:K208"/>
  <sheetViews>
    <sheetView tabSelected="1" topLeftCell="A34" zoomScale="115" zoomScaleNormal="115" workbookViewId="0">
      <selection activeCell="C201" sqref="C201"/>
    </sheetView>
  </sheetViews>
  <sheetFormatPr baseColWidth="10" defaultColWidth="11.44140625" defaultRowHeight="22.95" customHeight="1" x14ac:dyDescent="0.3"/>
  <cols>
    <col min="1" max="1" width="6.33203125" style="16" customWidth="1"/>
    <col min="2" max="2" width="9.6640625" style="16" bestFit="1" customWidth="1"/>
    <col min="3" max="3" width="17.5546875" style="16" bestFit="1" customWidth="1"/>
    <col min="4" max="5" width="7" style="16" customWidth="1"/>
    <col min="6" max="6" width="15.109375" style="16" customWidth="1"/>
    <col min="7" max="7" width="11.6640625" style="16" customWidth="1"/>
    <col min="8" max="9" width="10.6640625" style="16" customWidth="1"/>
    <col min="10" max="10" width="10.44140625" style="16" customWidth="1"/>
    <col min="11" max="11" width="50.5546875" style="1" customWidth="1"/>
    <col min="12" max="16384" width="11.44140625" style="1"/>
  </cols>
  <sheetData>
    <row r="1" spans="1:11" s="4" customFormat="1" ht="34.799999999999997" thickTop="1" thickBot="1" x14ac:dyDescent="0.35">
      <c r="A1" s="17" t="s">
        <v>191</v>
      </c>
      <c r="B1" s="18" t="s">
        <v>19</v>
      </c>
      <c r="C1" s="18" t="s">
        <v>194</v>
      </c>
      <c r="D1" s="19" t="s">
        <v>192</v>
      </c>
      <c r="E1" s="19" t="s">
        <v>193</v>
      </c>
      <c r="F1" s="18" t="s">
        <v>20</v>
      </c>
      <c r="G1" s="18" t="s">
        <v>197</v>
      </c>
      <c r="H1" s="18" t="s">
        <v>21</v>
      </c>
      <c r="I1" s="18" t="s">
        <v>22</v>
      </c>
      <c r="J1" s="18" t="s">
        <v>23</v>
      </c>
      <c r="K1" s="20" t="s">
        <v>24</v>
      </c>
    </row>
    <row r="2" spans="1:11" s="4" customFormat="1" ht="16.2" thickTop="1" x14ac:dyDescent="0.3">
      <c r="A2" s="23">
        <v>1</v>
      </c>
      <c r="B2" s="2">
        <v>2</v>
      </c>
      <c r="C2" s="2" t="s">
        <v>0</v>
      </c>
      <c r="D2" s="2">
        <v>365</v>
      </c>
      <c r="E2" s="2">
        <v>621</v>
      </c>
      <c r="F2" s="2" t="s">
        <v>1</v>
      </c>
      <c r="G2" s="2"/>
      <c r="H2" s="2">
        <v>70</v>
      </c>
      <c r="I2" s="2">
        <v>4.5</v>
      </c>
      <c r="J2" s="2">
        <v>12</v>
      </c>
      <c r="K2" s="3" t="s">
        <v>25</v>
      </c>
    </row>
    <row r="3" spans="1:11" s="4" customFormat="1" ht="15.6" x14ac:dyDescent="0.3">
      <c r="A3" s="24">
        <v>2</v>
      </c>
      <c r="B3" s="6">
        <v>2</v>
      </c>
      <c r="C3" s="6" t="s">
        <v>0</v>
      </c>
      <c r="D3" s="6">
        <v>365</v>
      </c>
      <c r="E3" s="6">
        <v>637</v>
      </c>
      <c r="F3" s="6" t="s">
        <v>1</v>
      </c>
      <c r="G3" s="6"/>
      <c r="H3" s="6">
        <v>70</v>
      </c>
      <c r="I3" s="6">
        <v>7</v>
      </c>
      <c r="J3" s="6">
        <v>12</v>
      </c>
      <c r="K3" s="7" t="s">
        <v>25</v>
      </c>
    </row>
    <row r="4" spans="1:11" s="4" customFormat="1" ht="15.6" x14ac:dyDescent="0.3">
      <c r="A4" s="24">
        <v>3</v>
      </c>
      <c r="B4" s="6">
        <v>2</v>
      </c>
      <c r="C4" s="6" t="s">
        <v>0</v>
      </c>
      <c r="D4" s="6">
        <v>365</v>
      </c>
      <c r="E4" s="6">
        <v>635</v>
      </c>
      <c r="F4" s="6" t="s">
        <v>1</v>
      </c>
      <c r="G4" s="6"/>
      <c r="H4" s="6">
        <v>70</v>
      </c>
      <c r="I4" s="6">
        <v>9</v>
      </c>
      <c r="J4" s="6">
        <v>12</v>
      </c>
      <c r="K4" s="7" t="s">
        <v>25</v>
      </c>
    </row>
    <row r="5" spans="1:11" s="4" customFormat="1" ht="15.6" x14ac:dyDescent="0.3">
      <c r="A5" s="24">
        <v>4</v>
      </c>
      <c r="B5" s="6">
        <v>1.6</v>
      </c>
      <c r="C5" s="6" t="s">
        <v>2</v>
      </c>
      <c r="D5" s="6">
        <v>470</v>
      </c>
      <c r="E5" s="6">
        <v>675</v>
      </c>
      <c r="F5" s="6" t="s">
        <v>1</v>
      </c>
      <c r="G5" s="6"/>
      <c r="H5" s="6">
        <v>37</v>
      </c>
      <c r="I5" s="6">
        <v>7.16</v>
      </c>
      <c r="J5" s="6">
        <v>18</v>
      </c>
      <c r="K5" s="8" t="s">
        <v>26</v>
      </c>
    </row>
    <row r="6" spans="1:11" s="4" customFormat="1" ht="15.6" x14ac:dyDescent="0.3">
      <c r="A6" s="24">
        <v>5</v>
      </c>
      <c r="B6" s="6">
        <v>1.998</v>
      </c>
      <c r="C6" s="6" t="s">
        <v>3</v>
      </c>
      <c r="D6" s="6">
        <v>380</v>
      </c>
      <c r="E6" s="6">
        <v>600</v>
      </c>
      <c r="F6" s="6" t="s">
        <v>1</v>
      </c>
      <c r="G6" s="6"/>
      <c r="H6" s="6">
        <v>70</v>
      </c>
      <c r="I6" s="6"/>
      <c r="J6" s="6">
        <v>24</v>
      </c>
      <c r="K6" s="8" t="s">
        <v>27</v>
      </c>
    </row>
    <row r="7" spans="1:11" s="4" customFormat="1" ht="31.2" x14ac:dyDescent="0.3">
      <c r="A7" s="24">
        <v>6</v>
      </c>
      <c r="B7" s="6">
        <v>3.5</v>
      </c>
      <c r="C7" s="6" t="s">
        <v>4</v>
      </c>
      <c r="D7" s="6">
        <v>430</v>
      </c>
      <c r="E7" s="6">
        <v>570</v>
      </c>
      <c r="F7" s="6" t="s">
        <v>1</v>
      </c>
      <c r="G7" s="6"/>
      <c r="H7" s="6">
        <v>70</v>
      </c>
      <c r="I7" s="6">
        <v>6</v>
      </c>
      <c r="J7" s="6">
        <v>24</v>
      </c>
      <c r="K7" s="8" t="s">
        <v>28</v>
      </c>
    </row>
    <row r="8" spans="1:11" s="4" customFormat="1" ht="15.6" x14ac:dyDescent="0.3">
      <c r="A8" s="5">
        <v>7</v>
      </c>
      <c r="B8" s="6">
        <v>3.9</v>
      </c>
      <c r="C8" s="6" t="s">
        <v>0</v>
      </c>
      <c r="D8" s="6">
        <v>520</v>
      </c>
      <c r="E8" s="6">
        <v>650</v>
      </c>
      <c r="F8" s="6" t="s">
        <v>1</v>
      </c>
      <c r="G8" s="6"/>
      <c r="H8" s="6" t="s">
        <v>190</v>
      </c>
      <c r="I8" s="6"/>
      <c r="J8" s="6">
        <v>4</v>
      </c>
      <c r="K8" s="7" t="s">
        <v>29</v>
      </c>
    </row>
    <row r="9" spans="1:11" ht="15.6" x14ac:dyDescent="0.3">
      <c r="A9" s="5">
        <v>8</v>
      </c>
      <c r="B9" s="6">
        <v>1.5</v>
      </c>
      <c r="C9" s="6" t="s">
        <v>0</v>
      </c>
      <c r="D9" s="6">
        <v>365</v>
      </c>
      <c r="E9" s="6">
        <v>760</v>
      </c>
      <c r="F9" s="6" t="s">
        <v>1</v>
      </c>
      <c r="G9" s="6"/>
      <c r="H9" s="6" t="s">
        <v>190</v>
      </c>
      <c r="I9" s="6">
        <v>2.5</v>
      </c>
      <c r="J9" s="6">
        <f>24*3</f>
        <v>72</v>
      </c>
      <c r="K9" s="8" t="s">
        <v>30</v>
      </c>
    </row>
    <row r="10" spans="1:11" ht="15.6" x14ac:dyDescent="0.3">
      <c r="A10" s="5">
        <v>9</v>
      </c>
      <c r="B10" s="6">
        <v>2.56</v>
      </c>
      <c r="C10" s="6" t="s">
        <v>0</v>
      </c>
      <c r="D10" s="6">
        <v>410</v>
      </c>
      <c r="E10" s="6">
        <v>570</v>
      </c>
      <c r="F10" s="6" t="s">
        <v>1</v>
      </c>
      <c r="G10" s="6"/>
      <c r="H10" s="6">
        <v>90</v>
      </c>
      <c r="I10" s="6">
        <f>AVERAGE(3,6)</f>
        <v>4.5</v>
      </c>
      <c r="J10" s="6">
        <v>6</v>
      </c>
      <c r="K10" s="8" t="s">
        <v>31</v>
      </c>
    </row>
    <row r="11" spans="1:11" ht="15.6" x14ac:dyDescent="0.3">
      <c r="A11" s="5">
        <v>10</v>
      </c>
      <c r="B11" s="6">
        <v>2.0099999999999998</v>
      </c>
      <c r="C11" s="6" t="s">
        <v>0</v>
      </c>
      <c r="D11" s="6">
        <v>365</v>
      </c>
      <c r="E11" s="6">
        <v>604</v>
      </c>
      <c r="F11" s="6" t="s">
        <v>1</v>
      </c>
      <c r="G11" s="6"/>
      <c r="H11" s="6">
        <v>70</v>
      </c>
      <c r="I11" s="6">
        <f>AVERAGE(4,8)</f>
        <v>6</v>
      </c>
      <c r="J11" s="6">
        <v>24</v>
      </c>
      <c r="K11" s="8" t="s">
        <v>32</v>
      </c>
    </row>
    <row r="12" spans="1:11" ht="15.6" x14ac:dyDescent="0.3">
      <c r="A12" s="5">
        <v>11</v>
      </c>
      <c r="B12" s="6">
        <v>2</v>
      </c>
      <c r="C12" s="6" t="s">
        <v>0</v>
      </c>
      <c r="D12" s="6">
        <v>365</v>
      </c>
      <c r="E12" s="6">
        <v>573</v>
      </c>
      <c r="F12" s="6" t="s">
        <v>1</v>
      </c>
      <c r="G12" s="6"/>
      <c r="H12" s="6">
        <v>70</v>
      </c>
      <c r="I12" s="6"/>
      <c r="J12" s="6">
        <v>24</v>
      </c>
      <c r="K12" s="8" t="s">
        <v>33</v>
      </c>
    </row>
    <row r="13" spans="1:11" ht="15.6" x14ac:dyDescent="0.3">
      <c r="A13" s="5">
        <v>12</v>
      </c>
      <c r="B13" s="6">
        <v>1.9</v>
      </c>
      <c r="C13" s="6" t="s">
        <v>2</v>
      </c>
      <c r="D13" s="6">
        <v>370</v>
      </c>
      <c r="E13" s="6">
        <v>420</v>
      </c>
      <c r="F13" s="6" t="s">
        <v>1</v>
      </c>
      <c r="G13" s="6"/>
      <c r="H13" s="6" t="s">
        <v>190</v>
      </c>
      <c r="I13" s="6">
        <v>6</v>
      </c>
      <c r="J13" s="6">
        <v>72</v>
      </c>
      <c r="K13" s="8" t="s">
        <v>34</v>
      </c>
    </row>
    <row r="14" spans="1:11" ht="15.6" x14ac:dyDescent="0.3">
      <c r="A14" s="5">
        <v>13</v>
      </c>
      <c r="B14" s="6">
        <v>1.9</v>
      </c>
      <c r="C14" s="6" t="s">
        <v>2</v>
      </c>
      <c r="D14" s="6">
        <v>370</v>
      </c>
      <c r="E14" s="6">
        <v>620</v>
      </c>
      <c r="F14" s="6" t="s">
        <v>1</v>
      </c>
      <c r="G14" s="6"/>
      <c r="H14" s="6" t="s">
        <v>190</v>
      </c>
      <c r="I14" s="6">
        <v>6</v>
      </c>
      <c r="J14" s="6">
        <v>72</v>
      </c>
      <c r="K14" s="8" t="s">
        <v>34</v>
      </c>
    </row>
    <row r="15" spans="1:11" ht="15.6" x14ac:dyDescent="0.3">
      <c r="A15" s="5">
        <v>14</v>
      </c>
      <c r="B15" s="6">
        <v>1</v>
      </c>
      <c r="C15" s="6" t="s">
        <v>0</v>
      </c>
      <c r="D15" s="6">
        <v>420</v>
      </c>
      <c r="E15" s="6">
        <v>610</v>
      </c>
      <c r="F15" s="6" t="s">
        <v>1</v>
      </c>
      <c r="G15" s="6"/>
      <c r="H15" s="6">
        <v>70</v>
      </c>
      <c r="I15" s="6"/>
      <c r="J15" s="6">
        <v>24</v>
      </c>
      <c r="K15" s="8" t="s">
        <v>35</v>
      </c>
    </row>
    <row r="16" spans="1:11" ht="15.6" x14ac:dyDescent="0.3">
      <c r="A16" s="5">
        <v>15</v>
      </c>
      <c r="B16" s="6">
        <v>1</v>
      </c>
      <c r="C16" s="6" t="s">
        <v>0</v>
      </c>
      <c r="D16" s="6">
        <v>420</v>
      </c>
      <c r="E16" s="6">
        <v>680</v>
      </c>
      <c r="F16" s="6" t="s">
        <v>1</v>
      </c>
      <c r="G16" s="6"/>
      <c r="H16" s="6">
        <v>70</v>
      </c>
      <c r="I16" s="6"/>
      <c r="J16" s="6">
        <v>24</v>
      </c>
      <c r="K16" s="8" t="s">
        <v>35</v>
      </c>
    </row>
    <row r="17" spans="1:11" ht="15.6" x14ac:dyDescent="0.3">
      <c r="A17" s="5">
        <v>16</v>
      </c>
      <c r="B17" s="6">
        <v>2.78</v>
      </c>
      <c r="C17" s="6" t="s">
        <v>0</v>
      </c>
      <c r="D17" s="6">
        <v>320</v>
      </c>
      <c r="E17" s="6">
        <v>565</v>
      </c>
      <c r="F17" s="6" t="s">
        <v>1</v>
      </c>
      <c r="G17" s="6"/>
      <c r="H17" s="6">
        <v>70</v>
      </c>
      <c r="I17" s="6"/>
      <c r="J17" s="6">
        <v>24</v>
      </c>
      <c r="K17" s="8" t="s">
        <v>36</v>
      </c>
    </row>
    <row r="18" spans="1:11" ht="15.6" x14ac:dyDescent="0.3">
      <c r="A18" s="5">
        <v>17</v>
      </c>
      <c r="B18" s="6">
        <v>2.16</v>
      </c>
      <c r="C18" s="6" t="s">
        <v>0</v>
      </c>
      <c r="D18" s="6">
        <v>410</v>
      </c>
      <c r="E18" s="6">
        <v>563</v>
      </c>
      <c r="F18" s="6" t="s">
        <v>1</v>
      </c>
      <c r="G18" s="6"/>
      <c r="H18" s="6">
        <v>40</v>
      </c>
      <c r="I18" s="6"/>
      <c r="J18" s="6">
        <f>24*5</f>
        <v>120</v>
      </c>
      <c r="K18" s="7" t="s">
        <v>37</v>
      </c>
    </row>
    <row r="19" spans="1:11" ht="15.6" x14ac:dyDescent="0.3">
      <c r="A19" s="5">
        <v>18</v>
      </c>
      <c r="B19" s="6">
        <v>2.2000000000000002</v>
      </c>
      <c r="C19" s="6" t="s">
        <v>2</v>
      </c>
      <c r="D19" s="6">
        <v>400</v>
      </c>
      <c r="E19" s="6">
        <v>610</v>
      </c>
      <c r="F19" s="6" t="s">
        <v>1</v>
      </c>
      <c r="G19" s="6"/>
      <c r="H19" s="6">
        <v>32</v>
      </c>
      <c r="I19" s="6">
        <v>7.3</v>
      </c>
      <c r="J19" s="6">
        <v>36</v>
      </c>
      <c r="K19" s="8" t="s">
        <v>38</v>
      </c>
    </row>
    <row r="20" spans="1:11" ht="15.6" x14ac:dyDescent="0.3">
      <c r="A20" s="5">
        <v>19</v>
      </c>
      <c r="B20" s="6">
        <v>0.7</v>
      </c>
      <c r="C20" s="6" t="s">
        <v>0</v>
      </c>
      <c r="D20" s="6">
        <v>450</v>
      </c>
      <c r="E20" s="6">
        <v>750</v>
      </c>
      <c r="F20" s="6" t="s">
        <v>1</v>
      </c>
      <c r="G20" s="6"/>
      <c r="H20" s="6">
        <v>70</v>
      </c>
      <c r="I20" s="6">
        <v>1.5</v>
      </c>
      <c r="J20" s="6">
        <v>24</v>
      </c>
      <c r="K20" s="8" t="s">
        <v>39</v>
      </c>
    </row>
    <row r="21" spans="1:11" ht="15.6" x14ac:dyDescent="0.3">
      <c r="A21" s="5">
        <v>20</v>
      </c>
      <c r="B21" s="6">
        <v>3.5</v>
      </c>
      <c r="C21" s="6" t="s">
        <v>5</v>
      </c>
      <c r="D21" s="6">
        <v>370</v>
      </c>
      <c r="E21" s="6">
        <v>502</v>
      </c>
      <c r="F21" s="6" t="s">
        <v>6</v>
      </c>
      <c r="G21" s="6">
        <v>13</v>
      </c>
      <c r="H21" s="6">
        <v>90</v>
      </c>
      <c r="I21" s="6"/>
      <c r="J21" s="6">
        <v>4</v>
      </c>
      <c r="K21" s="21" t="s">
        <v>40</v>
      </c>
    </row>
    <row r="22" spans="1:11" ht="18" customHeight="1" x14ac:dyDescent="0.3">
      <c r="A22" s="5">
        <v>21</v>
      </c>
      <c r="B22" s="6">
        <v>1.5</v>
      </c>
      <c r="C22" s="6" t="s">
        <v>0</v>
      </c>
      <c r="D22" s="6">
        <v>514</v>
      </c>
      <c r="E22" s="6">
        <v>700</v>
      </c>
      <c r="F22" s="6" t="s">
        <v>1</v>
      </c>
      <c r="G22" s="6"/>
      <c r="H22" s="6" t="s">
        <v>190</v>
      </c>
      <c r="I22" s="6"/>
      <c r="J22" s="6">
        <v>8</v>
      </c>
      <c r="K22" s="7" t="s">
        <v>41</v>
      </c>
    </row>
    <row r="23" spans="1:11" ht="15.6" x14ac:dyDescent="0.3">
      <c r="A23" s="5">
        <v>22</v>
      </c>
      <c r="B23" s="6">
        <v>1.7</v>
      </c>
      <c r="C23" s="6" t="s">
        <v>7</v>
      </c>
      <c r="D23" s="6">
        <v>330</v>
      </c>
      <c r="E23" s="6">
        <v>603</v>
      </c>
      <c r="F23" s="6" t="s">
        <v>6</v>
      </c>
      <c r="G23" s="6"/>
      <c r="H23" s="6">
        <v>140</v>
      </c>
      <c r="I23" s="6"/>
      <c r="J23" s="6">
        <v>3</v>
      </c>
      <c r="K23" s="21" t="s">
        <v>42</v>
      </c>
    </row>
    <row r="24" spans="1:11" ht="15.6" x14ac:dyDescent="0.3">
      <c r="A24" s="5">
        <v>23</v>
      </c>
      <c r="B24" s="6">
        <v>1.8</v>
      </c>
      <c r="C24" s="6" t="s">
        <v>0</v>
      </c>
      <c r="D24" s="6">
        <v>550</v>
      </c>
      <c r="E24" s="6">
        <v>716</v>
      </c>
      <c r="F24" s="6" t="s">
        <v>1</v>
      </c>
      <c r="G24" s="6"/>
      <c r="H24" s="6">
        <v>80</v>
      </c>
      <c r="I24" s="6"/>
      <c r="J24" s="6">
        <v>4</v>
      </c>
      <c r="K24" s="8" t="s">
        <v>43</v>
      </c>
    </row>
    <row r="25" spans="1:11" ht="15.6" x14ac:dyDescent="0.3">
      <c r="A25" s="5">
        <v>24</v>
      </c>
      <c r="B25" s="6">
        <v>2</v>
      </c>
      <c r="C25" s="6" t="s">
        <v>8</v>
      </c>
      <c r="D25" s="6">
        <v>365</v>
      </c>
      <c r="E25" s="6">
        <v>798</v>
      </c>
      <c r="F25" s="6" t="s">
        <v>1</v>
      </c>
      <c r="G25" s="6"/>
      <c r="H25" s="6" t="s">
        <v>190</v>
      </c>
      <c r="I25" s="6"/>
      <c r="J25" s="6">
        <v>24</v>
      </c>
      <c r="K25" s="8" t="s">
        <v>44</v>
      </c>
    </row>
    <row r="26" spans="1:11" ht="15.6" x14ac:dyDescent="0.3">
      <c r="A26" s="5">
        <v>25</v>
      </c>
      <c r="B26" s="6">
        <v>1.7</v>
      </c>
      <c r="C26" s="6" t="s">
        <v>0</v>
      </c>
      <c r="D26" s="6">
        <v>414</v>
      </c>
      <c r="E26" s="6">
        <v>598</v>
      </c>
      <c r="F26" s="6" t="s">
        <v>1</v>
      </c>
      <c r="G26" s="6"/>
      <c r="H26" s="6">
        <v>40</v>
      </c>
      <c r="I26" s="6">
        <f>AVERAGE(6,14)</f>
        <v>10</v>
      </c>
      <c r="J26" s="9">
        <f>40/60</f>
        <v>0.66666666666666663</v>
      </c>
      <c r="K26" s="7" t="s">
        <v>45</v>
      </c>
    </row>
    <row r="27" spans="1:11" ht="15.6" x14ac:dyDescent="0.3">
      <c r="A27" s="5">
        <v>26</v>
      </c>
      <c r="B27" s="6">
        <v>2.13</v>
      </c>
      <c r="C27" s="6" t="s">
        <v>0</v>
      </c>
      <c r="D27" s="6">
        <v>450</v>
      </c>
      <c r="E27" s="6">
        <v>700</v>
      </c>
      <c r="F27" s="6" t="s">
        <v>1</v>
      </c>
      <c r="G27" s="6"/>
      <c r="H27" s="6" t="s">
        <v>190</v>
      </c>
      <c r="I27" s="6"/>
      <c r="J27" s="6">
        <v>24</v>
      </c>
      <c r="K27" s="8" t="s">
        <v>46</v>
      </c>
    </row>
    <row r="28" spans="1:11" ht="15.6" x14ac:dyDescent="0.3">
      <c r="A28" s="5">
        <v>27</v>
      </c>
      <c r="B28" s="6">
        <v>1.9</v>
      </c>
      <c r="C28" s="6" t="s">
        <v>0</v>
      </c>
      <c r="D28" s="6">
        <v>425</v>
      </c>
      <c r="E28" s="6">
        <v>640</v>
      </c>
      <c r="F28" s="6" t="s">
        <v>1</v>
      </c>
      <c r="G28" s="6"/>
      <c r="H28" s="6" t="s">
        <v>190</v>
      </c>
      <c r="I28" s="6"/>
      <c r="J28" s="6">
        <v>12</v>
      </c>
      <c r="K28" s="8" t="s">
        <v>47</v>
      </c>
    </row>
    <row r="29" spans="1:11" ht="15.6" x14ac:dyDescent="0.3">
      <c r="A29" s="5">
        <v>28</v>
      </c>
      <c r="B29" s="6">
        <v>2.87</v>
      </c>
      <c r="C29" s="6" t="s">
        <v>0</v>
      </c>
      <c r="D29" s="6"/>
      <c r="E29" s="6">
        <v>605</v>
      </c>
      <c r="F29" s="6" t="s">
        <v>1</v>
      </c>
      <c r="G29" s="6"/>
      <c r="H29" s="6">
        <v>70</v>
      </c>
      <c r="I29" s="6"/>
      <c r="J29" s="6">
        <v>24</v>
      </c>
      <c r="K29" s="8" t="s">
        <v>48</v>
      </c>
    </row>
    <row r="30" spans="1:11" ht="15.6" x14ac:dyDescent="0.3">
      <c r="A30" s="5">
        <v>29</v>
      </c>
      <c r="B30" s="6">
        <v>1.53</v>
      </c>
      <c r="C30" s="6" t="s">
        <v>0</v>
      </c>
      <c r="D30" s="6">
        <v>440</v>
      </c>
      <c r="E30" s="6">
        <v>610</v>
      </c>
      <c r="F30" s="6" t="s">
        <v>1</v>
      </c>
      <c r="G30" s="6"/>
      <c r="H30" s="6">
        <v>95</v>
      </c>
      <c r="I30" s="6"/>
      <c r="J30" s="6">
        <v>2</v>
      </c>
      <c r="K30" s="8" t="s">
        <v>49</v>
      </c>
    </row>
    <row r="31" spans="1:11" ht="15.6" x14ac:dyDescent="0.3">
      <c r="A31" s="5">
        <v>30</v>
      </c>
      <c r="B31" s="6">
        <v>1.53</v>
      </c>
      <c r="C31" s="6" t="s">
        <v>0</v>
      </c>
      <c r="D31" s="6">
        <v>440</v>
      </c>
      <c r="E31" s="6">
        <v>810</v>
      </c>
      <c r="F31" s="6" t="s">
        <v>1</v>
      </c>
      <c r="G31" s="6"/>
      <c r="H31" s="6">
        <v>95</v>
      </c>
      <c r="I31" s="6"/>
      <c r="J31" s="6">
        <v>2</v>
      </c>
      <c r="K31" s="8" t="s">
        <v>49</v>
      </c>
    </row>
    <row r="32" spans="1:11" ht="15.6" x14ac:dyDescent="0.3">
      <c r="A32" s="5">
        <v>31</v>
      </c>
      <c r="B32" s="6">
        <v>1.2</v>
      </c>
      <c r="C32" s="6" t="s">
        <v>0</v>
      </c>
      <c r="D32" s="6">
        <v>470</v>
      </c>
      <c r="E32" s="6">
        <v>640</v>
      </c>
      <c r="F32" s="6" t="s">
        <v>1</v>
      </c>
      <c r="G32" s="6"/>
      <c r="H32" s="6">
        <v>37</v>
      </c>
      <c r="I32" s="6"/>
      <c r="J32" s="6">
        <v>12</v>
      </c>
      <c r="K32" s="8" t="s">
        <v>50</v>
      </c>
    </row>
    <row r="33" spans="1:11" ht="15.6" x14ac:dyDescent="0.3">
      <c r="A33" s="5">
        <v>32</v>
      </c>
      <c r="B33" s="6">
        <v>1.2</v>
      </c>
      <c r="C33" s="6" t="s">
        <v>0</v>
      </c>
      <c r="D33" s="6"/>
      <c r="E33" s="6">
        <v>456</v>
      </c>
      <c r="F33" s="6" t="s">
        <v>1</v>
      </c>
      <c r="G33" s="6"/>
      <c r="H33" s="6">
        <v>30</v>
      </c>
      <c r="I33" s="6"/>
      <c r="J33" s="6">
        <v>12</v>
      </c>
      <c r="K33" s="8" t="s">
        <v>51</v>
      </c>
    </row>
    <row r="34" spans="1:11" ht="15.6" x14ac:dyDescent="0.3">
      <c r="A34" s="5">
        <v>33</v>
      </c>
      <c r="B34" s="6">
        <v>1.2</v>
      </c>
      <c r="C34" s="6" t="s">
        <v>0</v>
      </c>
      <c r="D34" s="6"/>
      <c r="E34" s="6">
        <v>525</v>
      </c>
      <c r="F34" s="6" t="s">
        <v>1</v>
      </c>
      <c r="G34" s="6"/>
      <c r="H34" s="6">
        <v>30</v>
      </c>
      <c r="I34" s="6"/>
      <c r="J34" s="6">
        <v>12</v>
      </c>
      <c r="K34" s="8" t="s">
        <v>51</v>
      </c>
    </row>
    <row r="35" spans="1:11" ht="15.6" x14ac:dyDescent="0.3">
      <c r="A35" s="5">
        <v>34</v>
      </c>
      <c r="B35" s="6">
        <v>2</v>
      </c>
      <c r="C35" s="6" t="s">
        <v>0</v>
      </c>
      <c r="D35" s="6">
        <v>365</v>
      </c>
      <c r="E35" s="6">
        <v>605</v>
      </c>
      <c r="F35" s="6" t="s">
        <v>1</v>
      </c>
      <c r="G35" s="6"/>
      <c r="H35" s="6">
        <v>70</v>
      </c>
      <c r="I35" s="6"/>
      <c r="J35" s="6">
        <v>24</v>
      </c>
      <c r="K35" s="8" t="s">
        <v>52</v>
      </c>
    </row>
    <row r="36" spans="1:11" ht="46.8" x14ac:dyDescent="0.3">
      <c r="A36" s="5">
        <v>35</v>
      </c>
      <c r="B36" s="6">
        <v>1.95</v>
      </c>
      <c r="C36" s="6" t="s">
        <v>9</v>
      </c>
      <c r="D36" s="6">
        <v>370</v>
      </c>
      <c r="E36" s="6">
        <v>640</v>
      </c>
      <c r="F36" s="6" t="s">
        <v>1</v>
      </c>
      <c r="G36" s="6"/>
      <c r="H36" s="6" t="s">
        <v>190</v>
      </c>
      <c r="I36" s="6"/>
      <c r="J36" s="6">
        <v>24</v>
      </c>
      <c r="K36" s="7" t="s">
        <v>53</v>
      </c>
    </row>
    <row r="37" spans="1:11" ht="15.6" x14ac:dyDescent="0.3">
      <c r="A37" s="5">
        <v>36</v>
      </c>
      <c r="B37" s="6">
        <v>1.4990000000000001</v>
      </c>
      <c r="C37" s="6" t="s">
        <v>0</v>
      </c>
      <c r="D37" s="6">
        <v>262</v>
      </c>
      <c r="E37" s="6">
        <v>620</v>
      </c>
      <c r="F37" s="6" t="s">
        <v>1</v>
      </c>
      <c r="G37" s="6"/>
      <c r="H37" s="6">
        <v>25</v>
      </c>
      <c r="I37" s="6">
        <v>9</v>
      </c>
      <c r="J37" s="6">
        <v>24</v>
      </c>
      <c r="K37" s="8" t="s">
        <v>54</v>
      </c>
    </row>
    <row r="38" spans="1:11" ht="15.6" x14ac:dyDescent="0.3">
      <c r="A38" s="5">
        <v>37</v>
      </c>
      <c r="B38" s="6">
        <v>1.696</v>
      </c>
      <c r="C38" s="6" t="s">
        <v>0</v>
      </c>
      <c r="D38" s="6">
        <v>375</v>
      </c>
      <c r="E38" s="6">
        <v>519</v>
      </c>
      <c r="F38" s="6" t="s">
        <v>1</v>
      </c>
      <c r="G38" s="6"/>
      <c r="H38" s="6">
        <v>25</v>
      </c>
      <c r="I38" s="6">
        <v>9</v>
      </c>
      <c r="J38" s="6">
        <v>24</v>
      </c>
      <c r="K38" s="8" t="s">
        <v>54</v>
      </c>
    </row>
    <row r="39" spans="1:11" ht="15.6" x14ac:dyDescent="0.3">
      <c r="A39" s="5">
        <v>38</v>
      </c>
      <c r="B39" s="6">
        <v>1.774</v>
      </c>
      <c r="C39" s="6" t="s">
        <v>10</v>
      </c>
      <c r="D39" s="6">
        <v>375</v>
      </c>
      <c r="E39" s="6">
        <v>519</v>
      </c>
      <c r="F39" s="6" t="s">
        <v>1</v>
      </c>
      <c r="G39" s="6"/>
      <c r="H39" s="6">
        <v>25</v>
      </c>
      <c r="I39" s="6">
        <v>9</v>
      </c>
      <c r="J39" s="6">
        <v>24</v>
      </c>
      <c r="K39" s="8" t="s">
        <v>55</v>
      </c>
    </row>
    <row r="40" spans="1:11" ht="15.6" x14ac:dyDescent="0.3">
      <c r="A40" s="5">
        <v>39</v>
      </c>
      <c r="B40" s="6">
        <v>2</v>
      </c>
      <c r="C40" s="6" t="s">
        <v>2</v>
      </c>
      <c r="D40" s="6">
        <v>365</v>
      </c>
      <c r="E40" s="6">
        <v>652</v>
      </c>
      <c r="F40" s="6" t="s">
        <v>1</v>
      </c>
      <c r="G40" s="6"/>
      <c r="H40" s="6">
        <v>37</v>
      </c>
      <c r="I40" s="6">
        <v>5</v>
      </c>
      <c r="J40" s="6">
        <v>24</v>
      </c>
      <c r="K40" s="8" t="s">
        <v>56</v>
      </c>
    </row>
    <row r="41" spans="1:11" ht="15.6" x14ac:dyDescent="0.3">
      <c r="A41" s="5">
        <v>40</v>
      </c>
      <c r="B41" s="6">
        <v>2.8</v>
      </c>
      <c r="C41" s="6" t="s">
        <v>0</v>
      </c>
      <c r="D41" s="6">
        <v>370</v>
      </c>
      <c r="E41" s="6">
        <v>630</v>
      </c>
      <c r="F41" s="6" t="s">
        <v>1</v>
      </c>
      <c r="G41" s="6"/>
      <c r="H41" s="6"/>
      <c r="I41" s="6"/>
      <c r="J41" s="6"/>
      <c r="K41" s="8" t="s">
        <v>57</v>
      </c>
    </row>
    <row r="42" spans="1:11" ht="15.6" x14ac:dyDescent="0.3">
      <c r="A42" s="5">
        <v>41</v>
      </c>
      <c r="B42" s="6">
        <v>2.38</v>
      </c>
      <c r="C42" s="6" t="s">
        <v>0</v>
      </c>
      <c r="D42" s="6">
        <v>352</v>
      </c>
      <c r="E42" s="6">
        <v>806</v>
      </c>
      <c r="F42" s="6" t="s">
        <v>1</v>
      </c>
      <c r="G42" s="6"/>
      <c r="H42" s="6">
        <v>90</v>
      </c>
      <c r="I42" s="6"/>
      <c r="J42" s="9">
        <f>50/60</f>
        <v>0.83333333333333337</v>
      </c>
      <c r="K42" s="8" t="s">
        <v>58</v>
      </c>
    </row>
    <row r="43" spans="1:11" ht="15.6" x14ac:dyDescent="0.3">
      <c r="A43" s="5">
        <v>42</v>
      </c>
      <c r="B43" s="6">
        <v>1.8</v>
      </c>
      <c r="C43" s="6" t="s">
        <v>0</v>
      </c>
      <c r="D43" s="6">
        <v>400</v>
      </c>
      <c r="E43" s="6">
        <v>820</v>
      </c>
      <c r="F43" s="6" t="s">
        <v>1</v>
      </c>
      <c r="G43" s="6"/>
      <c r="H43" s="6">
        <v>95</v>
      </c>
      <c r="I43" s="6"/>
      <c r="J43" s="6">
        <v>12</v>
      </c>
      <c r="K43" s="8" t="s">
        <v>59</v>
      </c>
    </row>
    <row r="44" spans="1:11" ht="15.6" x14ac:dyDescent="0.3">
      <c r="A44" s="5">
        <v>43</v>
      </c>
      <c r="B44" s="6">
        <v>1.8</v>
      </c>
      <c r="C44" s="6" t="s">
        <v>0</v>
      </c>
      <c r="D44" s="6">
        <v>400</v>
      </c>
      <c r="E44" s="6">
        <v>820</v>
      </c>
      <c r="F44" s="6" t="s">
        <v>1</v>
      </c>
      <c r="G44" s="6"/>
      <c r="H44" s="6">
        <v>95</v>
      </c>
      <c r="I44" s="6"/>
      <c r="J44" s="6">
        <v>12</v>
      </c>
      <c r="K44" s="8" t="s">
        <v>60</v>
      </c>
    </row>
    <row r="45" spans="1:11" ht="15.6" x14ac:dyDescent="0.3">
      <c r="A45" s="5">
        <v>44</v>
      </c>
      <c r="B45" s="6">
        <v>1.6</v>
      </c>
      <c r="C45" s="6" t="s">
        <v>0</v>
      </c>
      <c r="D45" s="6">
        <v>400</v>
      </c>
      <c r="E45" s="6">
        <v>640</v>
      </c>
      <c r="F45" s="6" t="s">
        <v>1</v>
      </c>
      <c r="G45" s="6"/>
      <c r="H45" s="6">
        <v>95</v>
      </c>
      <c r="I45" s="6"/>
      <c r="J45" s="6">
        <v>12</v>
      </c>
      <c r="K45" s="8" t="s">
        <v>61</v>
      </c>
    </row>
    <row r="46" spans="1:11" ht="15.6" x14ac:dyDescent="0.3">
      <c r="A46" s="5">
        <v>45</v>
      </c>
      <c r="B46" s="6">
        <v>1.6</v>
      </c>
      <c r="C46" s="6" t="s">
        <v>0</v>
      </c>
      <c r="D46" s="6">
        <v>400</v>
      </c>
      <c r="E46" s="6">
        <v>820</v>
      </c>
      <c r="F46" s="6" t="s">
        <v>1</v>
      </c>
      <c r="G46" s="6"/>
      <c r="H46" s="6">
        <v>95</v>
      </c>
      <c r="I46" s="6"/>
      <c r="J46" s="6">
        <v>12</v>
      </c>
      <c r="K46" s="8" t="s">
        <v>61</v>
      </c>
    </row>
    <row r="47" spans="1:11" ht="15.6" x14ac:dyDescent="0.3">
      <c r="A47" s="5">
        <v>46</v>
      </c>
      <c r="B47" s="6">
        <v>1.86</v>
      </c>
      <c r="C47" s="6" t="s">
        <v>0</v>
      </c>
      <c r="D47" s="6">
        <v>520</v>
      </c>
      <c r="E47" s="6">
        <v>650</v>
      </c>
      <c r="F47" s="6" t="s">
        <v>1</v>
      </c>
      <c r="G47" s="6"/>
      <c r="H47" s="6" t="s">
        <v>190</v>
      </c>
      <c r="I47" s="6">
        <v>11</v>
      </c>
      <c r="J47" s="6">
        <v>9</v>
      </c>
      <c r="K47" s="8" t="s">
        <v>62</v>
      </c>
    </row>
    <row r="48" spans="1:11" ht="15.6" x14ac:dyDescent="0.3">
      <c r="A48" s="5">
        <v>47</v>
      </c>
      <c r="B48" s="6">
        <v>1.86</v>
      </c>
      <c r="C48" s="6" t="s">
        <v>0</v>
      </c>
      <c r="D48" s="6">
        <v>520</v>
      </c>
      <c r="E48" s="6">
        <v>680</v>
      </c>
      <c r="F48" s="6" t="s">
        <v>1</v>
      </c>
      <c r="G48" s="6"/>
      <c r="H48" s="6" t="s">
        <v>190</v>
      </c>
      <c r="I48" s="6">
        <v>11</v>
      </c>
      <c r="J48" s="6">
        <v>9</v>
      </c>
      <c r="K48" s="8" t="s">
        <v>62</v>
      </c>
    </row>
    <row r="49" spans="1:11" ht="15.6" x14ac:dyDescent="0.3">
      <c r="A49" s="5">
        <v>48</v>
      </c>
      <c r="B49" s="6">
        <v>3</v>
      </c>
      <c r="C49" s="6" t="s">
        <v>0</v>
      </c>
      <c r="D49" s="6">
        <v>345</v>
      </c>
      <c r="E49" s="6">
        <v>810</v>
      </c>
      <c r="F49" s="6" t="s">
        <v>6</v>
      </c>
      <c r="G49" s="6"/>
      <c r="H49" s="6">
        <v>70</v>
      </c>
      <c r="I49" s="6">
        <v>7.2</v>
      </c>
      <c r="J49" s="6">
        <v>7.5</v>
      </c>
      <c r="K49" s="21" t="s">
        <v>63</v>
      </c>
    </row>
    <row r="50" spans="1:11" ht="15.6" x14ac:dyDescent="0.3">
      <c r="A50" s="5">
        <v>49</v>
      </c>
      <c r="B50" s="6">
        <v>2</v>
      </c>
      <c r="C50" s="6" t="s">
        <v>0</v>
      </c>
      <c r="D50" s="6">
        <v>365</v>
      </c>
      <c r="E50" s="6">
        <v>575</v>
      </c>
      <c r="F50" s="6" t="s">
        <v>1</v>
      </c>
      <c r="G50" s="6"/>
      <c r="H50" s="6">
        <v>70</v>
      </c>
      <c r="I50" s="6"/>
      <c r="J50" s="6">
        <v>24</v>
      </c>
      <c r="K50" s="8" t="s">
        <v>64</v>
      </c>
    </row>
    <row r="51" spans="1:11" ht="15.6" x14ac:dyDescent="0.3">
      <c r="A51" s="5">
        <v>50</v>
      </c>
      <c r="B51" s="6">
        <v>2</v>
      </c>
      <c r="C51" s="6" t="s">
        <v>2</v>
      </c>
      <c r="D51" s="6">
        <v>325</v>
      </c>
      <c r="E51" s="6">
        <v>610</v>
      </c>
      <c r="F51" s="6" t="s">
        <v>1</v>
      </c>
      <c r="G51" s="6"/>
      <c r="H51" s="6">
        <v>70</v>
      </c>
      <c r="I51" s="6"/>
      <c r="J51" s="6">
        <v>24</v>
      </c>
      <c r="K51" s="8" t="s">
        <v>65</v>
      </c>
    </row>
    <row r="52" spans="1:11" ht="15.6" x14ac:dyDescent="0.3">
      <c r="A52" s="5">
        <v>51</v>
      </c>
      <c r="B52" s="6">
        <v>2</v>
      </c>
      <c r="C52" s="6" t="s">
        <v>2</v>
      </c>
      <c r="D52" s="6">
        <v>325</v>
      </c>
      <c r="E52" s="6">
        <v>615</v>
      </c>
      <c r="F52" s="6" t="s">
        <v>1</v>
      </c>
      <c r="G52" s="6"/>
      <c r="H52" s="6">
        <v>70</v>
      </c>
      <c r="I52" s="6"/>
      <c r="J52" s="6">
        <v>24</v>
      </c>
      <c r="K52" s="8" t="s">
        <v>65</v>
      </c>
    </row>
    <row r="53" spans="1:11" ht="15.6" x14ac:dyDescent="0.3">
      <c r="A53" s="5">
        <v>52</v>
      </c>
      <c r="B53" s="6">
        <v>2</v>
      </c>
      <c r="C53" s="6" t="s">
        <v>0</v>
      </c>
      <c r="D53" s="6">
        <v>360</v>
      </c>
      <c r="E53" s="6">
        <v>600</v>
      </c>
      <c r="F53" s="6" t="s">
        <v>1</v>
      </c>
      <c r="G53" s="6"/>
      <c r="H53" s="6">
        <v>70</v>
      </c>
      <c r="I53" s="6"/>
      <c r="J53" s="6">
        <v>24</v>
      </c>
      <c r="K53" s="7" t="s">
        <v>66</v>
      </c>
    </row>
    <row r="54" spans="1:11" ht="15.6" x14ac:dyDescent="0.3">
      <c r="A54" s="5">
        <v>53</v>
      </c>
      <c r="B54" s="6">
        <v>1.7999999999999998</v>
      </c>
      <c r="C54" s="6" t="s">
        <v>0</v>
      </c>
      <c r="D54" s="6">
        <v>400</v>
      </c>
      <c r="E54" s="6">
        <v>564</v>
      </c>
      <c r="F54" s="6" t="s">
        <v>1</v>
      </c>
      <c r="G54" s="6"/>
      <c r="H54" s="6">
        <v>90</v>
      </c>
      <c r="I54" s="6"/>
      <c r="J54" s="6">
        <v>6</v>
      </c>
      <c r="K54" s="10" t="s">
        <v>68</v>
      </c>
    </row>
    <row r="55" spans="1:11" ht="15.6" x14ac:dyDescent="0.3">
      <c r="A55" s="5">
        <v>54</v>
      </c>
      <c r="B55" s="6">
        <v>1.75</v>
      </c>
      <c r="C55" s="6" t="s">
        <v>0</v>
      </c>
      <c r="D55" s="6">
        <v>365</v>
      </c>
      <c r="E55" s="6">
        <v>682</v>
      </c>
      <c r="F55" s="6" t="s">
        <v>1</v>
      </c>
      <c r="G55" s="6"/>
      <c r="H55" s="6">
        <v>37</v>
      </c>
      <c r="I55" s="6"/>
      <c r="J55" s="6">
        <v>24</v>
      </c>
      <c r="K55" s="11" t="s">
        <v>67</v>
      </c>
    </row>
    <row r="56" spans="1:11" ht="15.6" x14ac:dyDescent="0.3">
      <c r="A56" s="5">
        <v>55</v>
      </c>
      <c r="B56" s="6">
        <v>2.98</v>
      </c>
      <c r="C56" s="6" t="s">
        <v>0</v>
      </c>
      <c r="D56" s="6">
        <v>390</v>
      </c>
      <c r="E56" s="6">
        <v>615</v>
      </c>
      <c r="F56" s="6" t="s">
        <v>1</v>
      </c>
      <c r="G56" s="6"/>
      <c r="H56" s="6">
        <v>90</v>
      </c>
      <c r="I56" s="6"/>
      <c r="J56" s="6">
        <v>6</v>
      </c>
      <c r="K56" s="25" t="s">
        <v>69</v>
      </c>
    </row>
    <row r="57" spans="1:11" ht="31.2" x14ac:dyDescent="0.3">
      <c r="A57" s="5">
        <v>56</v>
      </c>
      <c r="B57" s="6">
        <v>0.6</v>
      </c>
      <c r="C57" s="6" t="s">
        <v>4</v>
      </c>
      <c r="D57" s="6">
        <v>365</v>
      </c>
      <c r="E57" s="6">
        <v>590</v>
      </c>
      <c r="F57" s="6" t="s">
        <v>1</v>
      </c>
      <c r="G57" s="6"/>
      <c r="H57" s="6">
        <v>70</v>
      </c>
      <c r="I57" s="6"/>
      <c r="J57" s="6">
        <v>24</v>
      </c>
      <c r="K57" s="10" t="s">
        <v>86</v>
      </c>
    </row>
    <row r="58" spans="1:11" ht="15.6" x14ac:dyDescent="0.3">
      <c r="A58" s="5">
        <v>57</v>
      </c>
      <c r="B58" s="6">
        <v>1.88</v>
      </c>
      <c r="C58" s="6" t="s">
        <v>0</v>
      </c>
      <c r="D58" s="6">
        <v>410</v>
      </c>
      <c r="E58" s="6">
        <v>569</v>
      </c>
      <c r="F58" s="6" t="s">
        <v>1</v>
      </c>
      <c r="G58" s="6"/>
      <c r="H58" s="6">
        <v>70</v>
      </c>
      <c r="I58" s="6"/>
      <c r="J58" s="6">
        <v>24</v>
      </c>
      <c r="K58" s="7" t="s">
        <v>70</v>
      </c>
    </row>
    <row r="59" spans="1:11" ht="15.6" x14ac:dyDescent="0.3">
      <c r="A59" s="5">
        <v>58</v>
      </c>
      <c r="B59" s="6">
        <v>2</v>
      </c>
      <c r="C59" s="6" t="s">
        <v>0</v>
      </c>
      <c r="D59" s="6">
        <v>365</v>
      </c>
      <c r="E59" s="6">
        <v>615</v>
      </c>
      <c r="F59" s="6" t="s">
        <v>1</v>
      </c>
      <c r="G59" s="6"/>
      <c r="H59" s="6">
        <v>95</v>
      </c>
      <c r="I59" s="6"/>
      <c r="J59" s="6">
        <v>2</v>
      </c>
      <c r="K59" s="7" t="s">
        <v>71</v>
      </c>
    </row>
    <row r="60" spans="1:11" ht="15.6" x14ac:dyDescent="0.3">
      <c r="A60" s="5">
        <v>59</v>
      </c>
      <c r="B60" s="6">
        <v>2</v>
      </c>
      <c r="C60" s="6" t="s">
        <v>0</v>
      </c>
      <c r="D60" s="6">
        <v>365</v>
      </c>
      <c r="E60" s="6">
        <v>795</v>
      </c>
      <c r="F60" s="6" t="s">
        <v>1</v>
      </c>
      <c r="G60" s="6"/>
      <c r="H60" s="6">
        <v>95</v>
      </c>
      <c r="I60" s="6"/>
      <c r="J60" s="6">
        <v>2</v>
      </c>
      <c r="K60" s="7" t="s">
        <v>71</v>
      </c>
    </row>
    <row r="61" spans="1:11" ht="15.6" x14ac:dyDescent="0.3">
      <c r="A61" s="5">
        <v>60</v>
      </c>
      <c r="B61" s="6">
        <v>3.1</v>
      </c>
      <c r="C61" s="6" t="s">
        <v>2</v>
      </c>
      <c r="D61" s="6">
        <v>400</v>
      </c>
      <c r="E61" s="6">
        <v>630</v>
      </c>
      <c r="F61" s="6" t="s">
        <v>1</v>
      </c>
      <c r="G61" s="6"/>
      <c r="H61" s="6">
        <v>120</v>
      </c>
      <c r="I61" s="6"/>
      <c r="J61" s="6">
        <v>2</v>
      </c>
      <c r="K61" s="8" t="s">
        <v>72</v>
      </c>
    </row>
    <row r="62" spans="1:11" ht="15.6" x14ac:dyDescent="0.3">
      <c r="A62" s="5">
        <v>61</v>
      </c>
      <c r="B62" s="6">
        <v>2.4</v>
      </c>
      <c r="C62" s="6" t="s">
        <v>0</v>
      </c>
      <c r="D62" s="6">
        <v>430</v>
      </c>
      <c r="E62" s="6">
        <v>612</v>
      </c>
      <c r="F62" s="6" t="s">
        <v>1</v>
      </c>
      <c r="G62" s="6"/>
      <c r="H62" s="6">
        <v>70</v>
      </c>
      <c r="I62" s="6"/>
      <c r="J62" s="6">
        <v>24</v>
      </c>
      <c r="K62" s="8" t="s">
        <v>73</v>
      </c>
    </row>
    <row r="63" spans="1:11" ht="15.6" x14ac:dyDescent="0.3">
      <c r="A63" s="5">
        <v>62</v>
      </c>
      <c r="B63" s="6">
        <v>1.76</v>
      </c>
      <c r="C63" s="6" t="s">
        <v>0</v>
      </c>
      <c r="D63" s="6">
        <v>397</v>
      </c>
      <c r="E63" s="6">
        <v>571</v>
      </c>
      <c r="F63" s="6" t="s">
        <v>1</v>
      </c>
      <c r="G63" s="6"/>
      <c r="H63" s="6">
        <v>80</v>
      </c>
      <c r="I63" s="6"/>
      <c r="J63" s="6">
        <v>2</v>
      </c>
      <c r="K63" s="8" t="s">
        <v>74</v>
      </c>
    </row>
    <row r="64" spans="1:11" ht="15.6" x14ac:dyDescent="0.3">
      <c r="A64" s="5">
        <v>63</v>
      </c>
      <c r="B64" s="6">
        <v>1.8</v>
      </c>
      <c r="C64" s="6" t="s">
        <v>0</v>
      </c>
      <c r="D64" s="6">
        <v>405</v>
      </c>
      <c r="E64" s="6">
        <v>606</v>
      </c>
      <c r="F64" s="6" t="s">
        <v>1</v>
      </c>
      <c r="G64" s="6"/>
      <c r="H64" s="6">
        <v>70</v>
      </c>
      <c r="I64" s="6"/>
      <c r="J64" s="6">
        <v>24</v>
      </c>
      <c r="K64" s="8" t="s">
        <v>75</v>
      </c>
    </row>
    <row r="65" spans="1:11" ht="15.6" x14ac:dyDescent="0.3">
      <c r="A65" s="5">
        <v>64</v>
      </c>
      <c r="B65" s="6">
        <v>1.8</v>
      </c>
      <c r="C65" s="6" t="s">
        <v>0</v>
      </c>
      <c r="D65" s="6">
        <v>405</v>
      </c>
      <c r="E65" s="6">
        <v>794</v>
      </c>
      <c r="F65" s="6" t="s">
        <v>1</v>
      </c>
      <c r="G65" s="6"/>
      <c r="H65" s="6">
        <v>70</v>
      </c>
      <c r="I65" s="6"/>
      <c r="J65" s="6">
        <v>24</v>
      </c>
      <c r="K65" s="21" t="s">
        <v>75</v>
      </c>
    </row>
    <row r="66" spans="1:11" ht="15.6" x14ac:dyDescent="0.3">
      <c r="A66" s="5">
        <v>65</v>
      </c>
      <c r="B66" s="6">
        <v>2</v>
      </c>
      <c r="C66" s="6" t="s">
        <v>0</v>
      </c>
      <c r="D66" s="6">
        <v>365</v>
      </c>
      <c r="E66" s="6">
        <v>580</v>
      </c>
      <c r="F66" s="6" t="s">
        <v>1</v>
      </c>
      <c r="G66" s="6"/>
      <c r="H66" s="6">
        <v>70</v>
      </c>
      <c r="I66" s="6"/>
      <c r="J66" s="6">
        <v>24</v>
      </c>
      <c r="K66" s="8" t="s">
        <v>76</v>
      </c>
    </row>
    <row r="67" spans="1:11" ht="15.6" x14ac:dyDescent="0.3">
      <c r="A67" s="5">
        <v>66</v>
      </c>
      <c r="B67" s="6">
        <v>2.6</v>
      </c>
      <c r="C67" s="6" t="s">
        <v>11</v>
      </c>
      <c r="D67" s="6"/>
      <c r="E67" s="6">
        <v>469</v>
      </c>
      <c r="F67" s="6" t="s">
        <v>1</v>
      </c>
      <c r="G67" s="6"/>
      <c r="H67" s="6">
        <v>70</v>
      </c>
      <c r="I67" s="6">
        <v>7.17</v>
      </c>
      <c r="J67" s="6">
        <v>24</v>
      </c>
      <c r="K67" s="8" t="s">
        <v>75</v>
      </c>
    </row>
    <row r="68" spans="1:11" ht="15.6" x14ac:dyDescent="0.3">
      <c r="A68" s="5">
        <v>67</v>
      </c>
      <c r="B68" s="6">
        <v>2.6</v>
      </c>
      <c r="C68" s="6" t="s">
        <v>0</v>
      </c>
      <c r="D68" s="6">
        <v>365</v>
      </c>
      <c r="E68" s="6">
        <v>625</v>
      </c>
      <c r="F68" s="6" t="s">
        <v>1</v>
      </c>
      <c r="G68" s="6"/>
      <c r="H68" s="6">
        <v>70</v>
      </c>
      <c r="I68" s="6"/>
      <c r="J68" s="6">
        <v>24</v>
      </c>
      <c r="K68" s="8" t="s">
        <v>77</v>
      </c>
    </row>
    <row r="69" spans="1:11" ht="15.6" x14ac:dyDescent="0.3">
      <c r="A69" s="5">
        <v>68</v>
      </c>
      <c r="B69" s="6">
        <v>2</v>
      </c>
      <c r="C69" s="6" t="s">
        <v>0</v>
      </c>
      <c r="D69" s="6">
        <v>380</v>
      </c>
      <c r="E69" s="6">
        <v>564</v>
      </c>
      <c r="F69" s="6" t="s">
        <v>1</v>
      </c>
      <c r="G69" s="6"/>
      <c r="H69" s="6">
        <v>70</v>
      </c>
      <c r="I69" s="6"/>
      <c r="J69" s="6">
        <v>24</v>
      </c>
      <c r="K69" s="8" t="s">
        <v>78</v>
      </c>
    </row>
    <row r="70" spans="1:11" ht="15.6" x14ac:dyDescent="0.3">
      <c r="A70" s="5">
        <v>69</v>
      </c>
      <c r="B70" s="6">
        <v>1.5</v>
      </c>
      <c r="C70" s="6" t="s">
        <v>10</v>
      </c>
      <c r="D70" s="6">
        <v>290</v>
      </c>
      <c r="E70" s="6">
        <v>560</v>
      </c>
      <c r="F70" s="6" t="s">
        <v>1</v>
      </c>
      <c r="G70" s="6"/>
      <c r="H70" s="6" t="s">
        <v>190</v>
      </c>
      <c r="I70" s="6"/>
      <c r="J70" s="6">
        <v>12</v>
      </c>
      <c r="K70" s="8" t="s">
        <v>79</v>
      </c>
    </row>
    <row r="71" spans="1:11" ht="15.6" x14ac:dyDescent="0.3">
      <c r="A71" s="5">
        <v>70</v>
      </c>
      <c r="B71" s="6">
        <v>2</v>
      </c>
      <c r="C71" s="6" t="s">
        <v>0</v>
      </c>
      <c r="D71" s="6">
        <v>450</v>
      </c>
      <c r="E71" s="6">
        <v>630</v>
      </c>
      <c r="F71" s="6" t="s">
        <v>1</v>
      </c>
      <c r="G71" s="6"/>
      <c r="H71" s="6">
        <v>85</v>
      </c>
      <c r="I71" s="6"/>
      <c r="J71" s="6">
        <v>4</v>
      </c>
      <c r="K71" s="8" t="s">
        <v>80</v>
      </c>
    </row>
    <row r="72" spans="1:11" ht="15.6" x14ac:dyDescent="0.3">
      <c r="A72" s="5">
        <v>71</v>
      </c>
      <c r="B72" s="6">
        <v>1.5</v>
      </c>
      <c r="C72" s="6" t="s">
        <v>0</v>
      </c>
      <c r="D72" s="6">
        <v>365</v>
      </c>
      <c r="E72" s="6">
        <v>612</v>
      </c>
      <c r="F72" s="6" t="s">
        <v>1</v>
      </c>
      <c r="G72" s="6"/>
      <c r="H72" s="6">
        <v>24</v>
      </c>
      <c r="I72" s="6"/>
      <c r="J72" s="6">
        <v>70</v>
      </c>
      <c r="K72" s="8" t="s">
        <v>81</v>
      </c>
    </row>
    <row r="73" spans="1:11" ht="15.6" x14ac:dyDescent="0.3">
      <c r="A73" s="5">
        <v>72</v>
      </c>
      <c r="B73" s="6">
        <v>2</v>
      </c>
      <c r="C73" s="6" t="s">
        <v>0</v>
      </c>
      <c r="D73" s="6"/>
      <c r="E73" s="6">
        <v>625</v>
      </c>
      <c r="F73" s="6" t="s">
        <v>1</v>
      </c>
      <c r="G73" s="6"/>
      <c r="H73" s="6">
        <v>95</v>
      </c>
      <c r="I73" s="6"/>
      <c r="J73" s="6">
        <v>8</v>
      </c>
      <c r="K73" s="8" t="s">
        <v>82</v>
      </c>
    </row>
    <row r="74" spans="1:11" ht="15.6" x14ac:dyDescent="0.3">
      <c r="A74" s="5">
        <v>73</v>
      </c>
      <c r="B74" s="6">
        <v>2.12</v>
      </c>
      <c r="C74" s="6" t="s">
        <v>0</v>
      </c>
      <c r="D74" s="6">
        <v>440</v>
      </c>
      <c r="E74" s="6">
        <v>600</v>
      </c>
      <c r="F74" s="6" t="s">
        <v>1</v>
      </c>
      <c r="G74" s="6"/>
      <c r="H74" s="6">
        <v>90</v>
      </c>
      <c r="I74" s="6"/>
      <c r="J74" s="6">
        <v>24</v>
      </c>
      <c r="K74" s="8" t="s">
        <v>83</v>
      </c>
    </row>
    <row r="75" spans="1:11" ht="15.6" x14ac:dyDescent="0.3">
      <c r="A75" s="5">
        <v>74</v>
      </c>
      <c r="B75" s="6">
        <v>1.5</v>
      </c>
      <c r="C75" s="12" t="s">
        <v>12</v>
      </c>
      <c r="D75" s="6">
        <v>365</v>
      </c>
      <c r="E75" s="6">
        <v>627</v>
      </c>
      <c r="F75" s="6" t="s">
        <v>1</v>
      </c>
      <c r="G75" s="6"/>
      <c r="H75" s="6">
        <v>70</v>
      </c>
      <c r="I75" s="6">
        <v>3</v>
      </c>
      <c r="J75" s="6">
        <v>24</v>
      </c>
      <c r="K75" s="8" t="s">
        <v>84</v>
      </c>
    </row>
    <row r="76" spans="1:11" ht="15.6" x14ac:dyDescent="0.3">
      <c r="A76" s="5">
        <v>75</v>
      </c>
      <c r="B76" s="6">
        <v>1.73</v>
      </c>
      <c r="C76" s="6" t="s">
        <v>9</v>
      </c>
      <c r="D76" s="6">
        <v>293</v>
      </c>
      <c r="E76" s="6">
        <v>875</v>
      </c>
      <c r="F76" s="6" t="s">
        <v>1</v>
      </c>
      <c r="G76" s="6"/>
      <c r="H76" s="6">
        <v>90</v>
      </c>
      <c r="I76" s="6"/>
      <c r="J76" s="9">
        <f>50/60</f>
        <v>0.83333333333333337</v>
      </c>
      <c r="K76" s="8" t="s">
        <v>85</v>
      </c>
    </row>
    <row r="77" spans="1:11" ht="15.6" x14ac:dyDescent="0.3">
      <c r="A77" s="5">
        <v>76</v>
      </c>
      <c r="B77" s="6">
        <v>1.73</v>
      </c>
      <c r="C77" s="6" t="s">
        <v>5</v>
      </c>
      <c r="D77" s="6">
        <v>293</v>
      </c>
      <c r="E77" s="6">
        <v>825</v>
      </c>
      <c r="F77" s="6" t="s">
        <v>1</v>
      </c>
      <c r="G77" s="6"/>
      <c r="H77" s="6">
        <v>90</v>
      </c>
      <c r="I77" s="6"/>
      <c r="J77" s="9">
        <f>50/60</f>
        <v>0.83333333333333337</v>
      </c>
      <c r="K77" s="8" t="s">
        <v>85</v>
      </c>
    </row>
    <row r="78" spans="1:11" ht="15.6" x14ac:dyDescent="0.3">
      <c r="A78" s="5">
        <v>77</v>
      </c>
      <c r="B78" s="6">
        <v>1.73</v>
      </c>
      <c r="C78" s="6" t="s">
        <v>13</v>
      </c>
      <c r="D78" s="6">
        <v>293</v>
      </c>
      <c r="E78" s="6">
        <v>848</v>
      </c>
      <c r="F78" s="6" t="s">
        <v>1</v>
      </c>
      <c r="G78" s="6"/>
      <c r="H78" s="6">
        <v>90</v>
      </c>
      <c r="I78" s="6"/>
      <c r="J78" s="9">
        <f>50/60</f>
        <v>0.83333333333333337</v>
      </c>
      <c r="K78" s="8" t="s">
        <v>85</v>
      </c>
    </row>
    <row r="79" spans="1:11" ht="15.6" x14ac:dyDescent="0.3">
      <c r="A79" s="5">
        <v>78</v>
      </c>
      <c r="B79" s="6">
        <v>2</v>
      </c>
      <c r="C79" s="6" t="s">
        <v>0</v>
      </c>
      <c r="D79" s="6">
        <v>450</v>
      </c>
      <c r="E79" s="6">
        <v>650</v>
      </c>
      <c r="F79" s="6" t="s">
        <v>1</v>
      </c>
      <c r="G79" s="6"/>
      <c r="H79" s="6" t="s">
        <v>190</v>
      </c>
      <c r="I79" s="6"/>
      <c r="J79" s="6">
        <v>12</v>
      </c>
      <c r="K79" s="8" t="s">
        <v>88</v>
      </c>
    </row>
    <row r="80" spans="1:11" ht="15.6" x14ac:dyDescent="0.3">
      <c r="A80" s="5">
        <v>79</v>
      </c>
      <c r="B80" s="6">
        <v>2</v>
      </c>
      <c r="C80" s="6" t="s">
        <v>8</v>
      </c>
      <c r="D80" s="6">
        <v>590</v>
      </c>
      <c r="E80" s="6">
        <v>720</v>
      </c>
      <c r="F80" s="6" t="s">
        <v>198</v>
      </c>
      <c r="G80" s="6">
        <v>25</v>
      </c>
      <c r="H80" s="6">
        <v>37</v>
      </c>
      <c r="I80" s="6"/>
      <c r="J80" s="6">
        <v>24</v>
      </c>
      <c r="K80" s="21" t="s">
        <v>87</v>
      </c>
    </row>
    <row r="81" spans="1:11" ht="15.6" x14ac:dyDescent="0.3">
      <c r="A81" s="5">
        <v>80</v>
      </c>
      <c r="B81" s="6">
        <v>2</v>
      </c>
      <c r="C81" s="6" t="s">
        <v>14</v>
      </c>
      <c r="D81" s="6">
        <v>590</v>
      </c>
      <c r="E81" s="6">
        <v>700</v>
      </c>
      <c r="F81" s="6" t="s">
        <v>198</v>
      </c>
      <c r="G81" s="6">
        <v>25</v>
      </c>
      <c r="H81" s="6">
        <v>37</v>
      </c>
      <c r="I81" s="6"/>
      <c r="J81" s="6">
        <v>24</v>
      </c>
      <c r="K81" s="8" t="s">
        <v>87</v>
      </c>
    </row>
    <row r="82" spans="1:11" ht="15.6" x14ac:dyDescent="0.3">
      <c r="A82" s="5">
        <v>81</v>
      </c>
      <c r="B82" s="6">
        <v>2</v>
      </c>
      <c r="C82" s="6" t="s">
        <v>15</v>
      </c>
      <c r="D82" s="6">
        <v>590</v>
      </c>
      <c r="E82" s="6">
        <v>720</v>
      </c>
      <c r="F82" s="6" t="s">
        <v>198</v>
      </c>
      <c r="G82" s="6">
        <v>25</v>
      </c>
      <c r="H82" s="6">
        <v>37</v>
      </c>
      <c r="I82" s="6"/>
      <c r="J82" s="6">
        <v>24</v>
      </c>
      <c r="K82" s="8" t="s">
        <v>87</v>
      </c>
    </row>
    <row r="83" spans="1:11" ht="15.6" x14ac:dyDescent="0.3">
      <c r="A83" s="5">
        <v>82</v>
      </c>
      <c r="B83" s="6">
        <v>2</v>
      </c>
      <c r="C83" s="6" t="s">
        <v>16</v>
      </c>
      <c r="D83" s="6">
        <v>590</v>
      </c>
      <c r="E83" s="6">
        <v>700</v>
      </c>
      <c r="F83" s="6" t="s">
        <v>198</v>
      </c>
      <c r="G83" s="6">
        <v>25</v>
      </c>
      <c r="H83" s="6">
        <v>37</v>
      </c>
      <c r="I83" s="6"/>
      <c r="J83" s="6">
        <v>24</v>
      </c>
      <c r="K83" s="8" t="s">
        <v>87</v>
      </c>
    </row>
    <row r="84" spans="1:11" ht="15.6" x14ac:dyDescent="0.3">
      <c r="A84" s="5">
        <v>83</v>
      </c>
      <c r="B84" s="6">
        <v>2</v>
      </c>
      <c r="C84" s="6" t="s">
        <v>17</v>
      </c>
      <c r="D84" s="6">
        <v>590</v>
      </c>
      <c r="E84" s="6">
        <v>690</v>
      </c>
      <c r="F84" s="6" t="s">
        <v>198</v>
      </c>
      <c r="G84" s="6">
        <v>25</v>
      </c>
      <c r="H84" s="6">
        <v>37</v>
      </c>
      <c r="I84" s="6"/>
      <c r="J84" s="6">
        <v>24</v>
      </c>
      <c r="K84" s="8" t="s">
        <v>87</v>
      </c>
    </row>
    <row r="85" spans="1:11" ht="15.6" x14ac:dyDescent="0.3">
      <c r="A85" s="5">
        <v>84</v>
      </c>
      <c r="B85" s="6">
        <v>2</v>
      </c>
      <c r="C85" s="6" t="s">
        <v>0</v>
      </c>
      <c r="D85" s="6">
        <v>590</v>
      </c>
      <c r="E85" s="6">
        <v>745</v>
      </c>
      <c r="F85" s="6" t="s">
        <v>198</v>
      </c>
      <c r="G85" s="6">
        <v>25</v>
      </c>
      <c r="H85" s="6">
        <v>37</v>
      </c>
      <c r="I85" s="6"/>
      <c r="J85" s="6">
        <v>24</v>
      </c>
      <c r="K85" s="8" t="s">
        <v>87</v>
      </c>
    </row>
    <row r="86" spans="1:11" ht="15.6" x14ac:dyDescent="0.3">
      <c r="A86" s="5">
        <v>85</v>
      </c>
      <c r="B86" s="6">
        <v>2.04</v>
      </c>
      <c r="C86" s="6" t="s">
        <v>0</v>
      </c>
      <c r="D86" s="6">
        <v>375</v>
      </c>
      <c r="E86" s="6">
        <v>601</v>
      </c>
      <c r="F86" s="6" t="s">
        <v>1</v>
      </c>
      <c r="G86" s="6"/>
      <c r="H86" s="6">
        <v>70</v>
      </c>
      <c r="I86" s="6"/>
      <c r="J86" s="6">
        <v>12</v>
      </c>
      <c r="K86" s="13" t="s">
        <v>89</v>
      </c>
    </row>
    <row r="87" spans="1:11" ht="15.6" x14ac:dyDescent="0.3">
      <c r="A87" s="5">
        <v>86</v>
      </c>
      <c r="B87" s="6">
        <v>1.95</v>
      </c>
      <c r="C87" s="6" t="s">
        <v>0</v>
      </c>
      <c r="D87" s="6">
        <v>385</v>
      </c>
      <c r="E87" s="6">
        <v>606</v>
      </c>
      <c r="F87" s="6" t="s">
        <v>1</v>
      </c>
      <c r="G87" s="6"/>
      <c r="H87" s="6">
        <v>70</v>
      </c>
      <c r="I87" s="6"/>
      <c r="J87" s="6">
        <v>24</v>
      </c>
      <c r="K87" s="8" t="s">
        <v>90</v>
      </c>
    </row>
    <row r="88" spans="1:11" ht="15.6" x14ac:dyDescent="0.3">
      <c r="A88" s="5">
        <v>87</v>
      </c>
      <c r="B88" s="6">
        <v>1.5</v>
      </c>
      <c r="C88" s="6" t="s">
        <v>2</v>
      </c>
      <c r="D88" s="6">
        <v>300</v>
      </c>
      <c r="E88" s="6">
        <v>520</v>
      </c>
      <c r="F88" s="6" t="s">
        <v>1</v>
      </c>
      <c r="G88" s="6"/>
      <c r="H88" s="6">
        <v>70</v>
      </c>
      <c r="I88" s="6"/>
      <c r="J88" s="6">
        <v>24</v>
      </c>
      <c r="K88" s="8" t="s">
        <v>91</v>
      </c>
    </row>
    <row r="89" spans="1:11" ht="15.6" x14ac:dyDescent="0.3">
      <c r="A89" s="5">
        <v>88</v>
      </c>
      <c r="B89" s="6">
        <v>2.21</v>
      </c>
      <c r="C89" s="6" t="s">
        <v>0</v>
      </c>
      <c r="D89" s="6">
        <v>420</v>
      </c>
      <c r="E89" s="6">
        <v>615</v>
      </c>
      <c r="F89" s="6" t="s">
        <v>1</v>
      </c>
      <c r="G89" s="6"/>
      <c r="H89" s="6">
        <v>70</v>
      </c>
      <c r="I89" s="6"/>
      <c r="J89" s="6">
        <v>24</v>
      </c>
      <c r="K89" s="13" t="s">
        <v>92</v>
      </c>
    </row>
    <row r="90" spans="1:11" ht="15.6" x14ac:dyDescent="0.3">
      <c r="A90" s="5">
        <v>89</v>
      </c>
      <c r="B90" s="6">
        <v>2</v>
      </c>
      <c r="C90" s="6" t="s">
        <v>0</v>
      </c>
      <c r="D90" s="6">
        <v>430</v>
      </c>
      <c r="E90" s="6">
        <v>606</v>
      </c>
      <c r="F90" s="6" t="s">
        <v>1</v>
      </c>
      <c r="G90" s="6"/>
      <c r="H90" s="6">
        <v>70</v>
      </c>
      <c r="I90" s="6"/>
      <c r="J90" s="6">
        <v>24</v>
      </c>
      <c r="K90" s="8" t="s">
        <v>93</v>
      </c>
    </row>
    <row r="91" spans="1:11" ht="15.6" x14ac:dyDescent="0.3">
      <c r="A91" s="5">
        <v>90</v>
      </c>
      <c r="B91" s="6">
        <v>2</v>
      </c>
      <c r="C91" s="6" t="s">
        <v>0</v>
      </c>
      <c r="D91" s="6">
        <v>430</v>
      </c>
      <c r="E91" s="6">
        <v>642</v>
      </c>
      <c r="F91" s="6" t="s">
        <v>1</v>
      </c>
      <c r="G91" s="6"/>
      <c r="H91" s="6">
        <v>70</v>
      </c>
      <c r="I91" s="6"/>
      <c r="J91" s="6">
        <v>24</v>
      </c>
      <c r="K91" s="8" t="s">
        <v>93</v>
      </c>
    </row>
    <row r="92" spans="1:11" ht="15.6" x14ac:dyDescent="0.3">
      <c r="A92" s="5">
        <v>91</v>
      </c>
      <c r="B92" s="6">
        <v>2.34</v>
      </c>
      <c r="C92" s="6" t="s">
        <v>0</v>
      </c>
      <c r="D92" s="6">
        <v>415</v>
      </c>
      <c r="E92" s="6">
        <v>610</v>
      </c>
      <c r="F92" s="6" t="s">
        <v>1</v>
      </c>
      <c r="G92" s="6"/>
      <c r="H92" s="6">
        <v>70</v>
      </c>
      <c r="I92" s="6"/>
      <c r="J92" s="6">
        <v>24</v>
      </c>
      <c r="K92" s="8" t="s">
        <v>94</v>
      </c>
    </row>
    <row r="93" spans="1:11" ht="15.6" x14ac:dyDescent="0.3">
      <c r="A93" s="5">
        <v>92</v>
      </c>
      <c r="B93" s="6">
        <v>1.5</v>
      </c>
      <c r="C93" s="6" t="s">
        <v>0</v>
      </c>
      <c r="D93" s="6">
        <v>275</v>
      </c>
      <c r="E93" s="6">
        <v>650</v>
      </c>
      <c r="F93" s="6" t="s">
        <v>1</v>
      </c>
      <c r="G93" s="6"/>
      <c r="H93" s="6">
        <v>70</v>
      </c>
      <c r="I93" s="6"/>
      <c r="J93" s="6">
        <v>24</v>
      </c>
      <c r="K93" s="8" t="s">
        <v>95</v>
      </c>
    </row>
    <row r="94" spans="1:11" ht="15.6" x14ac:dyDescent="0.3">
      <c r="A94" s="5">
        <v>93</v>
      </c>
      <c r="B94" s="6">
        <v>2.2999999999999998</v>
      </c>
      <c r="C94" s="6" t="s">
        <v>0</v>
      </c>
      <c r="D94" s="6">
        <v>403</v>
      </c>
      <c r="E94" s="6">
        <v>595</v>
      </c>
      <c r="F94" s="6" t="s">
        <v>1</v>
      </c>
      <c r="G94" s="6"/>
      <c r="H94" s="6">
        <v>70</v>
      </c>
      <c r="I94" s="6"/>
      <c r="J94" s="6">
        <v>24</v>
      </c>
      <c r="K94" s="8" t="s">
        <v>96</v>
      </c>
    </row>
    <row r="95" spans="1:11" ht="15.6" x14ac:dyDescent="0.3">
      <c r="A95" s="5">
        <v>94</v>
      </c>
      <c r="B95" s="6">
        <v>2</v>
      </c>
      <c r="C95" s="6" t="s">
        <v>2</v>
      </c>
      <c r="D95" s="6">
        <v>365</v>
      </c>
      <c r="E95" s="6">
        <v>600</v>
      </c>
      <c r="F95" s="6" t="s">
        <v>1</v>
      </c>
      <c r="G95" s="6"/>
      <c r="H95" s="6">
        <v>70</v>
      </c>
      <c r="I95" s="6">
        <v>4.5</v>
      </c>
      <c r="J95" s="6">
        <v>24</v>
      </c>
      <c r="K95" s="8" t="s">
        <v>97</v>
      </c>
    </row>
    <row r="96" spans="1:11" ht="15.6" x14ac:dyDescent="0.3">
      <c r="A96" s="5">
        <v>95</v>
      </c>
      <c r="B96" s="6">
        <v>2.0127999999999999</v>
      </c>
      <c r="C96" s="6" t="s">
        <v>0</v>
      </c>
      <c r="D96" s="6">
        <v>365</v>
      </c>
      <c r="E96" s="6">
        <v>600</v>
      </c>
      <c r="F96" s="6" t="s">
        <v>1</v>
      </c>
      <c r="G96" s="6"/>
      <c r="H96" s="6">
        <v>75</v>
      </c>
      <c r="I96" s="6"/>
      <c r="J96" s="6">
        <v>12</v>
      </c>
      <c r="K96" s="7" t="s">
        <v>98</v>
      </c>
    </row>
    <row r="97" spans="1:11" ht="15.6" x14ac:dyDescent="0.3">
      <c r="A97" s="5">
        <v>96</v>
      </c>
      <c r="B97" s="6">
        <v>3.2</v>
      </c>
      <c r="C97" s="6" t="s">
        <v>0</v>
      </c>
      <c r="D97" s="6">
        <v>405</v>
      </c>
      <c r="E97" s="6">
        <v>800</v>
      </c>
      <c r="F97" s="6" t="s">
        <v>1</v>
      </c>
      <c r="G97" s="6"/>
      <c r="H97" s="6">
        <v>90</v>
      </c>
      <c r="I97" s="6"/>
      <c r="J97" s="9">
        <v>1</v>
      </c>
      <c r="K97" s="8" t="s">
        <v>99</v>
      </c>
    </row>
    <row r="98" spans="1:11" ht="15.6" x14ac:dyDescent="0.3">
      <c r="A98" s="5">
        <v>97</v>
      </c>
      <c r="B98" s="6">
        <v>3.2</v>
      </c>
      <c r="C98" s="6" t="s">
        <v>0</v>
      </c>
      <c r="D98" s="6">
        <v>440</v>
      </c>
      <c r="E98" s="6">
        <v>800</v>
      </c>
      <c r="F98" s="6" t="s">
        <v>1</v>
      </c>
      <c r="G98" s="6"/>
      <c r="H98" s="6">
        <v>90</v>
      </c>
      <c r="I98" s="6"/>
      <c r="J98" s="9">
        <v>1</v>
      </c>
      <c r="K98" s="8" t="s">
        <v>99</v>
      </c>
    </row>
    <row r="99" spans="1:11" ht="15.6" x14ac:dyDescent="0.3">
      <c r="A99" s="5">
        <v>98</v>
      </c>
      <c r="B99" s="6">
        <v>3.2</v>
      </c>
      <c r="C99" s="6" t="s">
        <v>0</v>
      </c>
      <c r="D99" s="6">
        <v>500</v>
      </c>
      <c r="E99" s="6">
        <v>800</v>
      </c>
      <c r="F99" s="6" t="s">
        <v>1</v>
      </c>
      <c r="G99" s="6"/>
      <c r="H99" s="6">
        <v>90</v>
      </c>
      <c r="I99" s="6"/>
      <c r="J99" s="9">
        <v>1</v>
      </c>
      <c r="K99" s="8" t="s">
        <v>99</v>
      </c>
    </row>
    <row r="100" spans="1:11" ht="15.6" x14ac:dyDescent="0.3">
      <c r="A100" s="5">
        <v>99</v>
      </c>
      <c r="B100" s="6">
        <v>3.2</v>
      </c>
      <c r="C100" s="6" t="s">
        <v>0</v>
      </c>
      <c r="D100" s="6">
        <v>560</v>
      </c>
      <c r="E100" s="6">
        <v>800</v>
      </c>
      <c r="F100" s="6" t="s">
        <v>1</v>
      </c>
      <c r="G100" s="6"/>
      <c r="H100" s="6">
        <v>90</v>
      </c>
      <c r="I100" s="6"/>
      <c r="J100" s="9">
        <v>1</v>
      </c>
      <c r="K100" s="8" t="s">
        <v>99</v>
      </c>
    </row>
    <row r="101" spans="1:11" ht="15.6" x14ac:dyDescent="0.3">
      <c r="A101" s="5">
        <v>100</v>
      </c>
      <c r="B101" s="6">
        <v>3.2</v>
      </c>
      <c r="C101" s="6" t="s">
        <v>0</v>
      </c>
      <c r="D101" s="6">
        <v>600</v>
      </c>
      <c r="E101" s="6">
        <v>800</v>
      </c>
      <c r="F101" s="6" t="s">
        <v>1</v>
      </c>
      <c r="G101" s="6"/>
      <c r="H101" s="6">
        <v>90</v>
      </c>
      <c r="I101" s="6"/>
      <c r="J101" s="9">
        <v>1</v>
      </c>
      <c r="K101" s="8" t="s">
        <v>99</v>
      </c>
    </row>
    <row r="102" spans="1:11" ht="15.6" x14ac:dyDescent="0.3">
      <c r="A102" s="5">
        <v>101</v>
      </c>
      <c r="B102" s="6">
        <v>3.2</v>
      </c>
      <c r="C102" s="6" t="s">
        <v>0</v>
      </c>
      <c r="D102" s="6">
        <v>640</v>
      </c>
      <c r="E102" s="6">
        <v>800</v>
      </c>
      <c r="F102" s="6" t="s">
        <v>1</v>
      </c>
      <c r="G102" s="6"/>
      <c r="H102" s="6">
        <v>90</v>
      </c>
      <c r="I102" s="6"/>
      <c r="J102" s="9">
        <v>1</v>
      </c>
      <c r="K102" s="8" t="s">
        <v>99</v>
      </c>
    </row>
    <row r="103" spans="1:11" ht="15.6" x14ac:dyDescent="0.3">
      <c r="A103" s="5">
        <v>102</v>
      </c>
      <c r="B103" s="6">
        <v>3.5</v>
      </c>
      <c r="C103" s="6" t="s">
        <v>0</v>
      </c>
      <c r="D103" s="6">
        <v>430</v>
      </c>
      <c r="E103" s="6">
        <v>606</v>
      </c>
      <c r="F103" s="6" t="s">
        <v>1</v>
      </c>
      <c r="G103" s="6"/>
      <c r="H103" s="6">
        <v>70</v>
      </c>
      <c r="I103" s="6"/>
      <c r="J103" s="6">
        <v>24</v>
      </c>
      <c r="K103" s="8" t="s">
        <v>100</v>
      </c>
    </row>
    <row r="104" spans="1:11" ht="15.6" x14ac:dyDescent="0.3">
      <c r="A104" s="5">
        <v>103</v>
      </c>
      <c r="B104" s="6">
        <v>3.5</v>
      </c>
      <c r="C104" s="6" t="s">
        <v>0</v>
      </c>
      <c r="D104" s="6">
        <v>430</v>
      </c>
      <c r="E104" s="6">
        <v>642</v>
      </c>
      <c r="F104" s="6" t="s">
        <v>1</v>
      </c>
      <c r="G104" s="6"/>
      <c r="H104" s="6">
        <v>70</v>
      </c>
      <c r="I104" s="6"/>
      <c r="J104" s="6">
        <v>24</v>
      </c>
      <c r="K104" s="8" t="s">
        <v>100</v>
      </c>
    </row>
    <row r="105" spans="1:11" ht="15.6" x14ac:dyDescent="0.3">
      <c r="A105" s="5">
        <v>104</v>
      </c>
      <c r="B105" s="6">
        <v>2.2000000000000002</v>
      </c>
      <c r="C105" s="6" t="s">
        <v>0</v>
      </c>
      <c r="D105" s="6">
        <v>365</v>
      </c>
      <c r="E105" s="6">
        <v>580</v>
      </c>
      <c r="F105" s="6" t="s">
        <v>1</v>
      </c>
      <c r="G105" s="6"/>
      <c r="H105" s="6">
        <v>70</v>
      </c>
      <c r="I105" s="6"/>
      <c r="J105" s="6">
        <v>24</v>
      </c>
      <c r="K105" s="8" t="s">
        <v>101</v>
      </c>
    </row>
    <row r="106" spans="1:11" ht="15.6" x14ac:dyDescent="0.3">
      <c r="A106" s="5">
        <v>105</v>
      </c>
      <c r="B106" s="6">
        <v>2.0299999999999998</v>
      </c>
      <c r="C106" s="6" t="s">
        <v>0</v>
      </c>
      <c r="D106" s="6">
        <v>365</v>
      </c>
      <c r="E106" s="6">
        <v>610</v>
      </c>
      <c r="F106" s="6" t="s">
        <v>1</v>
      </c>
      <c r="G106" s="6"/>
      <c r="H106" s="6">
        <v>70</v>
      </c>
      <c r="I106" s="6">
        <v>7</v>
      </c>
      <c r="J106" s="6">
        <v>24</v>
      </c>
      <c r="K106" s="8" t="s">
        <v>102</v>
      </c>
    </row>
    <row r="107" spans="1:11" ht="15.6" x14ac:dyDescent="0.3">
      <c r="A107" s="5">
        <v>106</v>
      </c>
      <c r="B107" s="6">
        <v>2.5</v>
      </c>
      <c r="C107" s="6" t="s">
        <v>0</v>
      </c>
      <c r="D107" s="6">
        <v>430</v>
      </c>
      <c r="E107" s="6">
        <v>612</v>
      </c>
      <c r="F107" s="6" t="s">
        <v>1</v>
      </c>
      <c r="G107" s="6"/>
      <c r="H107" s="6">
        <v>70</v>
      </c>
      <c r="I107" s="6"/>
      <c r="J107" s="6">
        <v>24</v>
      </c>
      <c r="K107" s="8" t="s">
        <v>103</v>
      </c>
    </row>
    <row r="108" spans="1:11" ht="15.6" x14ac:dyDescent="0.3">
      <c r="A108" s="5">
        <v>107</v>
      </c>
      <c r="B108" s="6">
        <v>2</v>
      </c>
      <c r="C108" s="6" t="s">
        <v>2</v>
      </c>
      <c r="D108" s="6">
        <v>400</v>
      </c>
      <c r="E108" s="6">
        <v>630</v>
      </c>
      <c r="F108" s="6" t="s">
        <v>1</v>
      </c>
      <c r="G108" s="6"/>
      <c r="H108" s="6">
        <v>70</v>
      </c>
      <c r="I108" s="6"/>
      <c r="J108" s="6">
        <v>24</v>
      </c>
      <c r="K108" s="8" t="s">
        <v>104</v>
      </c>
    </row>
    <row r="109" spans="1:11" ht="15.6" x14ac:dyDescent="0.3">
      <c r="A109" s="5">
        <v>108</v>
      </c>
      <c r="B109" s="6">
        <v>2</v>
      </c>
      <c r="C109" s="6" t="s">
        <v>0</v>
      </c>
      <c r="D109" s="6">
        <v>365</v>
      </c>
      <c r="E109" s="6">
        <v>800</v>
      </c>
      <c r="F109" s="6" t="s">
        <v>1</v>
      </c>
      <c r="G109" s="6"/>
      <c r="H109" s="6">
        <v>70</v>
      </c>
      <c r="I109" s="6"/>
      <c r="J109" s="6">
        <v>2</v>
      </c>
      <c r="K109" s="13" t="s">
        <v>105</v>
      </c>
    </row>
    <row r="110" spans="1:11" ht="15.6" x14ac:dyDescent="0.3">
      <c r="A110" s="5">
        <v>109</v>
      </c>
      <c r="B110" s="6">
        <v>2</v>
      </c>
      <c r="C110" s="6" t="s">
        <v>0</v>
      </c>
      <c r="D110" s="6">
        <v>570</v>
      </c>
      <c r="E110" s="6">
        <v>656</v>
      </c>
      <c r="F110" s="6" t="s">
        <v>1</v>
      </c>
      <c r="G110" s="6"/>
      <c r="H110" s="6">
        <v>65</v>
      </c>
      <c r="I110" s="6">
        <v>7</v>
      </c>
      <c r="J110" s="6">
        <v>4</v>
      </c>
      <c r="K110" s="8" t="s">
        <v>106</v>
      </c>
    </row>
    <row r="111" spans="1:11" ht="15.6" x14ac:dyDescent="0.3">
      <c r="A111" s="5">
        <v>110</v>
      </c>
      <c r="B111" s="6">
        <v>2</v>
      </c>
      <c r="C111" s="6" t="s">
        <v>11</v>
      </c>
      <c r="D111" s="6">
        <v>365</v>
      </c>
      <c r="E111" s="6">
        <v>820</v>
      </c>
      <c r="F111" s="6" t="s">
        <v>1</v>
      </c>
      <c r="G111" s="6">
        <v>25</v>
      </c>
      <c r="H111" s="6"/>
      <c r="I111" s="6">
        <v>6.5</v>
      </c>
      <c r="J111" s="6">
        <v>2</v>
      </c>
      <c r="K111" s="8" t="s">
        <v>107</v>
      </c>
    </row>
    <row r="112" spans="1:11" ht="15.6" x14ac:dyDescent="0.3">
      <c r="A112" s="5">
        <v>111</v>
      </c>
      <c r="B112" s="6">
        <v>2</v>
      </c>
      <c r="C112" s="6" t="s">
        <v>0</v>
      </c>
      <c r="D112" s="6">
        <v>300</v>
      </c>
      <c r="E112" s="6">
        <v>600</v>
      </c>
      <c r="F112" s="6" t="s">
        <v>1</v>
      </c>
      <c r="G112" s="6"/>
      <c r="H112" s="6" t="s">
        <v>190</v>
      </c>
      <c r="I112" s="6"/>
      <c r="J112" s="6">
        <v>12</v>
      </c>
      <c r="K112" s="8" t="s">
        <v>108</v>
      </c>
    </row>
    <row r="113" spans="1:11" ht="15.6" x14ac:dyDescent="0.3">
      <c r="A113" s="5">
        <v>112</v>
      </c>
      <c r="B113" s="6">
        <v>2</v>
      </c>
      <c r="C113" s="6" t="s">
        <v>0</v>
      </c>
      <c r="D113" s="6">
        <v>400</v>
      </c>
      <c r="E113" s="6">
        <v>610</v>
      </c>
      <c r="F113" s="6" t="s">
        <v>1</v>
      </c>
      <c r="G113" s="6"/>
      <c r="H113" s="6">
        <v>70</v>
      </c>
      <c r="I113" s="6"/>
      <c r="J113" s="6">
        <v>24</v>
      </c>
      <c r="K113" s="8" t="s">
        <v>109</v>
      </c>
    </row>
    <row r="114" spans="1:11" ht="15.6" x14ac:dyDescent="0.3">
      <c r="A114" s="5">
        <v>113</v>
      </c>
      <c r="B114" s="6">
        <v>2</v>
      </c>
      <c r="C114" s="6" t="s">
        <v>0</v>
      </c>
      <c r="D114" s="6">
        <v>410</v>
      </c>
      <c r="E114" s="6">
        <v>615</v>
      </c>
      <c r="F114" s="6" t="s">
        <v>1</v>
      </c>
      <c r="G114" s="6"/>
      <c r="H114" s="6">
        <v>85</v>
      </c>
      <c r="I114" s="6">
        <v>12</v>
      </c>
      <c r="J114" s="6">
        <v>3</v>
      </c>
      <c r="K114" s="8" t="s">
        <v>110</v>
      </c>
    </row>
    <row r="115" spans="1:11" ht="15.6" x14ac:dyDescent="0.3">
      <c r="A115" s="5">
        <v>114</v>
      </c>
      <c r="B115" s="6">
        <v>2</v>
      </c>
      <c r="C115" s="6" t="s">
        <v>0</v>
      </c>
      <c r="D115" s="6">
        <v>365</v>
      </c>
      <c r="E115" s="6">
        <v>640</v>
      </c>
      <c r="F115" s="6" t="s">
        <v>1</v>
      </c>
      <c r="G115" s="6"/>
      <c r="H115" s="6">
        <v>70</v>
      </c>
      <c r="I115" s="6">
        <v>7</v>
      </c>
      <c r="J115" s="6">
        <v>9</v>
      </c>
      <c r="K115" s="8" t="s">
        <v>111</v>
      </c>
    </row>
    <row r="116" spans="1:11" ht="15.6" x14ac:dyDescent="0.3">
      <c r="A116" s="5">
        <v>115</v>
      </c>
      <c r="B116" s="6">
        <v>1.5</v>
      </c>
      <c r="C116" s="6" t="s">
        <v>0</v>
      </c>
      <c r="D116" s="6">
        <v>800</v>
      </c>
      <c r="E116" s="6">
        <v>1100</v>
      </c>
      <c r="F116" s="6" t="s">
        <v>1</v>
      </c>
      <c r="G116" s="6"/>
      <c r="H116" s="6">
        <v>25</v>
      </c>
      <c r="I116" s="6"/>
      <c r="J116" s="6">
        <v>3</v>
      </c>
      <c r="K116" s="8" t="s">
        <v>112</v>
      </c>
    </row>
    <row r="117" spans="1:11" ht="15.6" x14ac:dyDescent="0.3">
      <c r="A117" s="5">
        <v>116</v>
      </c>
      <c r="B117" s="6">
        <v>2</v>
      </c>
      <c r="C117" s="6" t="s">
        <v>0</v>
      </c>
      <c r="D117" s="6">
        <v>350</v>
      </c>
      <c r="E117" s="6">
        <v>450</v>
      </c>
      <c r="F117" s="6" t="s">
        <v>1</v>
      </c>
      <c r="G117" s="6"/>
      <c r="H117" s="6">
        <v>140</v>
      </c>
      <c r="I117" s="6">
        <v>7</v>
      </c>
      <c r="J117" s="6">
        <v>6</v>
      </c>
      <c r="K117" s="8" t="s">
        <v>113</v>
      </c>
    </row>
    <row r="118" spans="1:11" ht="15.6" x14ac:dyDescent="0.3">
      <c r="A118" s="5">
        <v>117</v>
      </c>
      <c r="B118" s="6">
        <v>2</v>
      </c>
      <c r="C118" s="6" t="s">
        <v>0</v>
      </c>
      <c r="D118" s="6">
        <v>350</v>
      </c>
      <c r="E118" s="6">
        <v>450</v>
      </c>
      <c r="F118" s="6" t="s">
        <v>1</v>
      </c>
      <c r="G118" s="6"/>
      <c r="H118" s="6">
        <v>140</v>
      </c>
      <c r="I118" s="6">
        <v>2</v>
      </c>
      <c r="J118" s="6">
        <v>6</v>
      </c>
      <c r="K118" s="8" t="s">
        <v>114</v>
      </c>
    </row>
    <row r="119" spans="1:11" ht="15.6" x14ac:dyDescent="0.3">
      <c r="A119" s="5">
        <v>118</v>
      </c>
      <c r="B119" s="6">
        <v>2</v>
      </c>
      <c r="C119" s="6" t="s">
        <v>0</v>
      </c>
      <c r="D119" s="6">
        <v>350</v>
      </c>
      <c r="E119" s="6">
        <v>450</v>
      </c>
      <c r="F119" s="6" t="s">
        <v>1</v>
      </c>
      <c r="G119" s="6"/>
      <c r="H119" s="6">
        <v>140</v>
      </c>
      <c r="I119" s="6">
        <v>12</v>
      </c>
      <c r="J119" s="6">
        <v>6</v>
      </c>
      <c r="K119" s="8" t="s">
        <v>115</v>
      </c>
    </row>
    <row r="120" spans="1:11" ht="15.6" x14ac:dyDescent="0.3">
      <c r="A120" s="5">
        <v>119</v>
      </c>
      <c r="B120" s="6">
        <v>2</v>
      </c>
      <c r="C120" s="6" t="s">
        <v>2</v>
      </c>
      <c r="D120" s="6">
        <v>350</v>
      </c>
      <c r="E120" s="6">
        <v>450</v>
      </c>
      <c r="F120" s="6" t="s">
        <v>1</v>
      </c>
      <c r="G120" s="6"/>
      <c r="H120" s="6">
        <v>140</v>
      </c>
      <c r="I120" s="6"/>
      <c r="J120" s="6">
        <v>6</v>
      </c>
      <c r="K120" s="8" t="s">
        <v>116</v>
      </c>
    </row>
    <row r="121" spans="1:11" ht="15.6" x14ac:dyDescent="0.3">
      <c r="A121" s="5">
        <v>120</v>
      </c>
      <c r="B121" s="6">
        <v>2</v>
      </c>
      <c r="C121" s="6" t="s">
        <v>15</v>
      </c>
      <c r="D121" s="6">
        <v>350</v>
      </c>
      <c r="E121" s="6">
        <v>450</v>
      </c>
      <c r="F121" s="6" t="s">
        <v>1</v>
      </c>
      <c r="G121" s="6"/>
      <c r="H121" s="6">
        <v>140</v>
      </c>
      <c r="I121" s="6"/>
      <c r="J121" s="6">
        <v>6</v>
      </c>
      <c r="K121" s="8" t="s">
        <v>117</v>
      </c>
    </row>
    <row r="122" spans="1:11" ht="15.6" x14ac:dyDescent="0.3">
      <c r="A122" s="5">
        <v>121</v>
      </c>
      <c r="B122" s="6">
        <v>2</v>
      </c>
      <c r="C122" s="6" t="s">
        <v>18</v>
      </c>
      <c r="D122" s="6">
        <v>350</v>
      </c>
      <c r="E122" s="6">
        <v>425</v>
      </c>
      <c r="F122" s="6" t="s">
        <v>1</v>
      </c>
      <c r="G122" s="6"/>
      <c r="H122" s="6">
        <v>140</v>
      </c>
      <c r="I122" s="6"/>
      <c r="J122" s="6">
        <v>6</v>
      </c>
      <c r="K122" s="8" t="s">
        <v>118</v>
      </c>
    </row>
    <row r="123" spans="1:11" ht="15.6" x14ac:dyDescent="0.3">
      <c r="A123" s="5">
        <v>122</v>
      </c>
      <c r="B123" s="6">
        <v>1.5</v>
      </c>
      <c r="C123" s="6" t="s">
        <v>0</v>
      </c>
      <c r="D123" s="6">
        <v>366</v>
      </c>
      <c r="E123" s="6">
        <v>615</v>
      </c>
      <c r="F123" s="6" t="s">
        <v>1</v>
      </c>
      <c r="G123" s="6"/>
      <c r="H123" s="6">
        <v>65</v>
      </c>
      <c r="I123" s="6"/>
      <c r="J123" s="6">
        <v>48</v>
      </c>
      <c r="K123" s="8" t="s">
        <v>119</v>
      </c>
    </row>
    <row r="124" spans="1:11" ht="15.6" x14ac:dyDescent="0.3">
      <c r="A124" s="5">
        <v>123</v>
      </c>
      <c r="B124" s="6">
        <v>1.5</v>
      </c>
      <c r="C124" s="6" t="s">
        <v>0</v>
      </c>
      <c r="D124" s="6">
        <v>460</v>
      </c>
      <c r="E124" s="6">
        <v>720</v>
      </c>
      <c r="F124" s="6" t="s">
        <v>6</v>
      </c>
      <c r="G124" s="6"/>
      <c r="H124" s="6">
        <v>0</v>
      </c>
      <c r="I124" s="6"/>
      <c r="J124" s="6">
        <v>1</v>
      </c>
      <c r="K124" s="8" t="s">
        <v>120</v>
      </c>
    </row>
    <row r="125" spans="1:11" ht="15.6" x14ac:dyDescent="0.3">
      <c r="A125" s="5">
        <v>124</v>
      </c>
      <c r="B125" s="6">
        <v>2</v>
      </c>
      <c r="C125" s="6" t="s">
        <v>0</v>
      </c>
      <c r="D125" s="6">
        <v>514</v>
      </c>
      <c r="E125" s="6">
        <v>620</v>
      </c>
      <c r="F125" s="6" t="s">
        <v>1</v>
      </c>
      <c r="G125" s="6"/>
      <c r="H125" s="6">
        <v>25</v>
      </c>
      <c r="I125" s="6"/>
      <c r="J125" s="6">
        <v>24</v>
      </c>
      <c r="K125" s="8" t="s">
        <v>121</v>
      </c>
    </row>
    <row r="126" spans="1:11" ht="15.6" x14ac:dyDescent="0.3">
      <c r="A126" s="5">
        <v>125</v>
      </c>
      <c r="B126" s="6">
        <v>2</v>
      </c>
      <c r="C126" s="6" t="s">
        <v>0</v>
      </c>
      <c r="D126" s="6">
        <v>396</v>
      </c>
      <c r="E126" s="6">
        <v>613</v>
      </c>
      <c r="F126" s="6" t="s">
        <v>1</v>
      </c>
      <c r="G126" s="6"/>
      <c r="H126" s="6">
        <v>32</v>
      </c>
      <c r="I126" s="6">
        <v>6.5</v>
      </c>
      <c r="J126" s="6">
        <v>36</v>
      </c>
      <c r="K126" s="8" t="s">
        <v>122</v>
      </c>
    </row>
    <row r="127" spans="1:11" ht="15.6" x14ac:dyDescent="0.3">
      <c r="A127" s="5">
        <v>126</v>
      </c>
      <c r="B127" s="6">
        <v>2</v>
      </c>
      <c r="C127" s="6" t="s">
        <v>0</v>
      </c>
      <c r="D127" s="6">
        <v>514</v>
      </c>
      <c r="E127" s="6">
        <v>670</v>
      </c>
      <c r="F127" s="6" t="s">
        <v>1</v>
      </c>
      <c r="G127" s="6">
        <v>25</v>
      </c>
      <c r="H127" s="6">
        <v>0</v>
      </c>
      <c r="I127" s="6"/>
      <c r="J127" s="6">
        <v>3</v>
      </c>
      <c r="K127" s="8" t="s">
        <v>123</v>
      </c>
    </row>
    <row r="128" spans="1:11" ht="15.6" x14ac:dyDescent="0.3">
      <c r="A128" s="5">
        <v>127</v>
      </c>
      <c r="B128" s="6">
        <v>2</v>
      </c>
      <c r="C128" s="6" t="s">
        <v>0</v>
      </c>
      <c r="D128" s="6">
        <v>375</v>
      </c>
      <c r="E128" s="6">
        <v>530</v>
      </c>
      <c r="F128" s="6" t="s">
        <v>1</v>
      </c>
      <c r="G128" s="6"/>
      <c r="H128" s="6">
        <v>90</v>
      </c>
      <c r="I128" s="6"/>
      <c r="J128" s="9">
        <f>35/60</f>
        <v>0.58333333333333337</v>
      </c>
      <c r="K128" s="8" t="s">
        <v>124</v>
      </c>
    </row>
    <row r="129" spans="1:11" ht="15.6" x14ac:dyDescent="0.3">
      <c r="A129" s="5">
        <v>128</v>
      </c>
      <c r="B129" s="6">
        <v>2.4</v>
      </c>
      <c r="C129" s="6" t="s">
        <v>3</v>
      </c>
      <c r="D129" s="6">
        <v>410</v>
      </c>
      <c r="E129" s="6">
        <v>710</v>
      </c>
      <c r="F129" s="6" t="s">
        <v>1</v>
      </c>
      <c r="G129" s="6"/>
      <c r="H129" s="6">
        <v>37</v>
      </c>
      <c r="I129" s="6"/>
      <c r="J129" s="9">
        <v>24</v>
      </c>
      <c r="K129" s="8" t="s">
        <v>125</v>
      </c>
    </row>
    <row r="130" spans="1:11" ht="31.2" x14ac:dyDescent="0.3">
      <c r="A130" s="5">
        <v>129</v>
      </c>
      <c r="B130" s="6">
        <v>1.5</v>
      </c>
      <c r="C130" s="6" t="s">
        <v>0</v>
      </c>
      <c r="D130" s="6">
        <v>450</v>
      </c>
      <c r="E130" s="6">
        <v>574</v>
      </c>
      <c r="F130" s="6" t="s">
        <v>199</v>
      </c>
      <c r="G130" s="6"/>
      <c r="H130" s="6">
        <v>25</v>
      </c>
      <c r="I130" s="6"/>
      <c r="J130" s="9">
        <v>15</v>
      </c>
      <c r="K130" s="21" t="s">
        <v>126</v>
      </c>
    </row>
    <row r="131" spans="1:11" ht="15.6" x14ac:dyDescent="0.3">
      <c r="A131" s="5">
        <v>130</v>
      </c>
      <c r="B131" s="6">
        <v>2</v>
      </c>
      <c r="C131" s="6" t="s">
        <v>15</v>
      </c>
      <c r="D131" s="6">
        <v>420</v>
      </c>
      <c r="E131" s="6">
        <v>730</v>
      </c>
      <c r="F131" s="6" t="s">
        <v>1</v>
      </c>
      <c r="G131" s="6">
        <v>38</v>
      </c>
      <c r="H131" s="6">
        <v>0</v>
      </c>
      <c r="I131" s="6"/>
      <c r="J131" s="9">
        <v>2</v>
      </c>
      <c r="K131" s="8" t="s">
        <v>127</v>
      </c>
    </row>
    <row r="132" spans="1:11" ht="15.6" x14ac:dyDescent="0.3">
      <c r="A132" s="5">
        <v>131</v>
      </c>
      <c r="B132" s="6">
        <v>1.3</v>
      </c>
      <c r="C132" s="6" t="s">
        <v>0</v>
      </c>
      <c r="D132" s="6">
        <v>395</v>
      </c>
      <c r="E132" s="6">
        <v>503</v>
      </c>
      <c r="F132" s="6" t="s">
        <v>198</v>
      </c>
      <c r="G132" s="6"/>
      <c r="H132" s="6">
        <v>25</v>
      </c>
      <c r="I132" s="6"/>
      <c r="J132" s="9">
        <v>1</v>
      </c>
      <c r="K132" s="22" t="s">
        <v>128</v>
      </c>
    </row>
    <row r="133" spans="1:11" ht="15.6" x14ac:dyDescent="0.3">
      <c r="A133" s="5">
        <v>132</v>
      </c>
      <c r="B133" s="6">
        <v>1.61</v>
      </c>
      <c r="C133" s="6" t="s">
        <v>0</v>
      </c>
      <c r="D133" s="6">
        <v>428</v>
      </c>
      <c r="E133" s="6">
        <v>645</v>
      </c>
      <c r="F133" s="6" t="s">
        <v>1</v>
      </c>
      <c r="G133" s="6"/>
      <c r="H133" s="6">
        <v>90</v>
      </c>
      <c r="I133" s="6"/>
      <c r="J133" s="9">
        <f>35/60</f>
        <v>0.58333333333333337</v>
      </c>
      <c r="K133" s="8" t="s">
        <v>129</v>
      </c>
    </row>
    <row r="134" spans="1:11" ht="15.6" x14ac:dyDescent="0.3">
      <c r="A134" s="5">
        <v>133</v>
      </c>
      <c r="B134" s="6">
        <v>1.57</v>
      </c>
      <c r="C134" s="6" t="s">
        <v>0</v>
      </c>
      <c r="D134" s="6">
        <v>428</v>
      </c>
      <c r="E134" s="6">
        <v>800</v>
      </c>
      <c r="F134" s="6" t="s">
        <v>1</v>
      </c>
      <c r="G134" s="6"/>
      <c r="H134" s="6">
        <v>90</v>
      </c>
      <c r="I134" s="6"/>
      <c r="J134" s="9">
        <f>35/60</f>
        <v>0.58333333333333337</v>
      </c>
      <c r="K134" s="8" t="s">
        <v>129</v>
      </c>
    </row>
    <row r="135" spans="1:11" ht="15.6" x14ac:dyDescent="0.3">
      <c r="A135" s="5">
        <v>134</v>
      </c>
      <c r="B135" s="6">
        <v>2</v>
      </c>
      <c r="C135" s="6" t="s">
        <v>0</v>
      </c>
      <c r="D135" s="6">
        <v>420</v>
      </c>
      <c r="E135" s="6">
        <v>470</v>
      </c>
      <c r="F135" s="6" t="s">
        <v>198</v>
      </c>
      <c r="G135" s="6"/>
      <c r="H135" s="6">
        <v>24</v>
      </c>
      <c r="I135" s="6"/>
      <c r="J135" s="9"/>
      <c r="K135" s="15" t="s">
        <v>130</v>
      </c>
    </row>
    <row r="136" spans="1:11" ht="15.6" x14ac:dyDescent="0.3">
      <c r="A136" s="5">
        <v>135</v>
      </c>
      <c r="B136" s="6">
        <v>2</v>
      </c>
      <c r="C136" s="6" t="s">
        <v>0</v>
      </c>
      <c r="D136" s="6">
        <v>450</v>
      </c>
      <c r="E136" s="6">
        <v>550</v>
      </c>
      <c r="F136" s="6" t="s">
        <v>198</v>
      </c>
      <c r="G136" s="6"/>
      <c r="H136" s="6">
        <v>24</v>
      </c>
      <c r="I136" s="6"/>
      <c r="J136" s="6"/>
      <c r="K136" s="15" t="s">
        <v>130</v>
      </c>
    </row>
    <row r="137" spans="1:11" ht="15.6" x14ac:dyDescent="0.3">
      <c r="A137" s="5">
        <v>136</v>
      </c>
      <c r="B137" s="6">
        <v>2</v>
      </c>
      <c r="C137" s="6" t="s">
        <v>0</v>
      </c>
      <c r="D137" s="6">
        <v>500</v>
      </c>
      <c r="E137" s="6">
        <v>600</v>
      </c>
      <c r="F137" s="6" t="s">
        <v>198</v>
      </c>
      <c r="G137" s="6"/>
      <c r="H137" s="6">
        <v>24</v>
      </c>
      <c r="I137" s="6"/>
      <c r="J137" s="6"/>
      <c r="K137" s="15" t="s">
        <v>130</v>
      </c>
    </row>
    <row r="138" spans="1:11" ht="15.6" x14ac:dyDescent="0.3">
      <c r="A138" s="5">
        <v>137</v>
      </c>
      <c r="B138" s="6">
        <v>1.9</v>
      </c>
      <c r="C138" s="6" t="s">
        <v>2</v>
      </c>
      <c r="D138" s="6">
        <v>520</v>
      </c>
      <c r="E138" s="6">
        <v>650</v>
      </c>
      <c r="F138" s="6" t="s">
        <v>1</v>
      </c>
      <c r="G138" s="6"/>
      <c r="H138" s="6">
        <v>0</v>
      </c>
      <c r="I138" s="6">
        <v>5.2</v>
      </c>
      <c r="J138" s="6">
        <v>4</v>
      </c>
      <c r="K138" s="8" t="s">
        <v>136</v>
      </c>
    </row>
    <row r="139" spans="1:11" ht="15.6" x14ac:dyDescent="0.3">
      <c r="A139" s="5">
        <v>138</v>
      </c>
      <c r="B139" s="6">
        <v>1.8</v>
      </c>
      <c r="C139" s="6" t="s">
        <v>0</v>
      </c>
      <c r="D139" s="6">
        <v>385</v>
      </c>
      <c r="E139" s="6">
        <v>575</v>
      </c>
      <c r="F139" s="6" t="s">
        <v>1</v>
      </c>
      <c r="G139" s="6"/>
      <c r="H139" s="6">
        <v>50</v>
      </c>
      <c r="I139" s="6"/>
      <c r="J139" s="6">
        <v>24</v>
      </c>
      <c r="K139" s="10" t="s">
        <v>137</v>
      </c>
    </row>
    <row r="140" spans="1:11" ht="15.6" x14ac:dyDescent="0.3">
      <c r="A140" s="5">
        <v>139</v>
      </c>
      <c r="B140" s="6">
        <v>0.83</v>
      </c>
      <c r="C140" s="6" t="s">
        <v>0</v>
      </c>
      <c r="D140" s="6">
        <v>300</v>
      </c>
      <c r="E140" s="6">
        <v>612</v>
      </c>
      <c r="F140" s="6" t="s">
        <v>1</v>
      </c>
      <c r="G140" s="6"/>
      <c r="H140" s="6" t="s">
        <v>190</v>
      </c>
      <c r="I140" s="6">
        <v>6.5</v>
      </c>
      <c r="J140" s="6">
        <v>3</v>
      </c>
      <c r="K140" s="8" t="s">
        <v>131</v>
      </c>
    </row>
    <row r="141" spans="1:11" ht="15.6" x14ac:dyDescent="0.3">
      <c r="A141" s="5">
        <v>140</v>
      </c>
      <c r="B141" s="6">
        <v>0.83</v>
      </c>
      <c r="C141" s="6" t="s">
        <v>0</v>
      </c>
      <c r="D141" s="6">
        <v>300</v>
      </c>
      <c r="E141" s="6">
        <v>580</v>
      </c>
      <c r="F141" s="6" t="s">
        <v>1</v>
      </c>
      <c r="G141" s="6"/>
      <c r="H141" s="6" t="s">
        <v>190</v>
      </c>
      <c r="I141" s="6">
        <v>3.5</v>
      </c>
      <c r="J141" s="6">
        <v>3</v>
      </c>
      <c r="K141" s="8" t="s">
        <v>131</v>
      </c>
    </row>
    <row r="142" spans="1:11" ht="15.6" x14ac:dyDescent="0.3">
      <c r="A142" s="5">
        <v>141</v>
      </c>
      <c r="B142" s="6">
        <v>2</v>
      </c>
      <c r="C142" s="6" t="s">
        <v>0</v>
      </c>
      <c r="D142" s="6">
        <v>375</v>
      </c>
      <c r="E142" s="6">
        <v>610</v>
      </c>
      <c r="F142" s="6" t="s">
        <v>1</v>
      </c>
      <c r="G142" s="6"/>
      <c r="H142" s="6">
        <v>70</v>
      </c>
      <c r="I142" s="6"/>
      <c r="J142" s="6">
        <v>24</v>
      </c>
      <c r="K142" s="8" t="s">
        <v>132</v>
      </c>
    </row>
    <row r="143" spans="1:11" ht="31.2" x14ac:dyDescent="0.3">
      <c r="A143" s="5">
        <v>142</v>
      </c>
      <c r="B143" s="6">
        <v>0.72</v>
      </c>
      <c r="C143" s="6" t="s">
        <v>5</v>
      </c>
      <c r="D143" s="6">
        <v>365</v>
      </c>
      <c r="E143" s="6">
        <v>437</v>
      </c>
      <c r="F143" s="6" t="s">
        <v>200</v>
      </c>
      <c r="G143" s="6"/>
      <c r="H143" s="6">
        <v>140</v>
      </c>
      <c r="I143" s="6"/>
      <c r="J143" s="6">
        <v>6</v>
      </c>
      <c r="K143" s="8" t="s">
        <v>133</v>
      </c>
    </row>
    <row r="144" spans="1:11" ht="15.6" x14ac:dyDescent="0.3">
      <c r="A144" s="5">
        <v>143</v>
      </c>
      <c r="B144" s="6">
        <v>2</v>
      </c>
      <c r="C144" s="6" t="s">
        <v>2</v>
      </c>
      <c r="D144" s="6">
        <v>360</v>
      </c>
      <c r="E144" s="6">
        <v>623</v>
      </c>
      <c r="F144" s="6" t="s">
        <v>1</v>
      </c>
      <c r="G144" s="6">
        <v>13</v>
      </c>
      <c r="H144" s="6">
        <v>70</v>
      </c>
      <c r="I144" s="6"/>
      <c r="J144" s="6">
        <v>24</v>
      </c>
      <c r="K144" s="8" t="s">
        <v>134</v>
      </c>
    </row>
    <row r="145" spans="1:11" ht="15.6" x14ac:dyDescent="0.3">
      <c r="A145" s="5">
        <v>144</v>
      </c>
      <c r="B145" s="6">
        <v>3</v>
      </c>
      <c r="C145" s="6" t="s">
        <v>0</v>
      </c>
      <c r="D145" s="6">
        <v>365</v>
      </c>
      <c r="E145" s="6">
        <v>612</v>
      </c>
      <c r="F145" s="6" t="s">
        <v>1</v>
      </c>
      <c r="G145" s="6"/>
      <c r="H145" s="6">
        <v>70</v>
      </c>
      <c r="I145" s="6"/>
      <c r="J145" s="6">
        <v>24</v>
      </c>
      <c r="K145" s="8" t="s">
        <v>135</v>
      </c>
    </row>
    <row r="146" spans="1:11" ht="15.6" x14ac:dyDescent="0.3">
      <c r="A146" s="5">
        <v>145</v>
      </c>
      <c r="B146" s="6">
        <v>1.2</v>
      </c>
      <c r="C146" s="6" t="s">
        <v>0</v>
      </c>
      <c r="D146" s="6">
        <v>470</v>
      </c>
      <c r="E146" s="6">
        <v>660</v>
      </c>
      <c r="F146" s="6" t="s">
        <v>1</v>
      </c>
      <c r="G146" s="6"/>
      <c r="H146" s="6">
        <v>37</v>
      </c>
      <c r="I146" s="6"/>
      <c r="J146" s="6">
        <v>24</v>
      </c>
      <c r="K146" s="14" t="s">
        <v>138</v>
      </c>
    </row>
    <row r="147" spans="1:11" ht="31.2" x14ac:dyDescent="0.3">
      <c r="A147" s="5">
        <v>146</v>
      </c>
      <c r="B147" s="6">
        <v>2</v>
      </c>
      <c r="C147" s="6" t="s">
        <v>0</v>
      </c>
      <c r="D147" s="6">
        <v>330</v>
      </c>
      <c r="E147" s="6">
        <v>604</v>
      </c>
      <c r="F147" s="6" t="s">
        <v>201</v>
      </c>
      <c r="G147" s="6"/>
      <c r="H147" s="6">
        <v>22</v>
      </c>
      <c r="I147" s="6">
        <v>8</v>
      </c>
      <c r="J147" s="6"/>
      <c r="K147" s="8" t="s">
        <v>139</v>
      </c>
    </row>
    <row r="148" spans="1:11" ht="15.6" x14ac:dyDescent="0.3">
      <c r="A148" s="5">
        <v>147</v>
      </c>
      <c r="B148" s="6">
        <v>2</v>
      </c>
      <c r="C148" s="6" t="s">
        <v>0</v>
      </c>
      <c r="D148" s="6">
        <v>414</v>
      </c>
      <c r="E148" s="6">
        <v>496</v>
      </c>
      <c r="F148" s="6" t="s">
        <v>1</v>
      </c>
      <c r="G148" s="6"/>
      <c r="H148" s="6" t="s">
        <v>190</v>
      </c>
      <c r="I148" s="6"/>
      <c r="J148" s="6">
        <v>12</v>
      </c>
      <c r="K148" s="8" t="s">
        <v>140</v>
      </c>
    </row>
    <row r="149" spans="1:11" ht="15.6" x14ac:dyDescent="0.3">
      <c r="A149" s="5">
        <v>148</v>
      </c>
      <c r="B149" s="6">
        <v>2</v>
      </c>
      <c r="C149" s="6" t="s">
        <v>0</v>
      </c>
      <c r="D149" s="6">
        <v>450</v>
      </c>
      <c r="E149" s="6">
        <v>570</v>
      </c>
      <c r="F149" s="6" t="s">
        <v>1</v>
      </c>
      <c r="G149" s="6"/>
      <c r="H149" s="6">
        <v>80</v>
      </c>
      <c r="I149" s="6"/>
      <c r="J149" s="6">
        <v>20</v>
      </c>
      <c r="K149" s="8" t="s">
        <v>141</v>
      </c>
    </row>
    <row r="150" spans="1:11" ht="15.6" x14ac:dyDescent="0.3">
      <c r="A150" s="5">
        <v>149</v>
      </c>
      <c r="B150" s="6">
        <v>2</v>
      </c>
      <c r="C150" s="6" t="s">
        <v>0</v>
      </c>
      <c r="D150" s="6">
        <v>396</v>
      </c>
      <c r="E150" s="6">
        <v>600</v>
      </c>
      <c r="F150" s="6" t="s">
        <v>1</v>
      </c>
      <c r="G150" s="6"/>
      <c r="H150" s="6">
        <v>70</v>
      </c>
      <c r="I150" s="6"/>
      <c r="J150" s="6">
        <v>24</v>
      </c>
      <c r="K150" s="8" t="s">
        <v>142</v>
      </c>
    </row>
    <row r="151" spans="1:11" ht="15.6" x14ac:dyDescent="0.3">
      <c r="A151" s="5">
        <v>150</v>
      </c>
      <c r="B151" s="6">
        <v>2</v>
      </c>
      <c r="C151" s="6" t="s">
        <v>2</v>
      </c>
      <c r="D151" s="6">
        <v>590</v>
      </c>
      <c r="E151" s="6">
        <v>824</v>
      </c>
      <c r="F151" s="6" t="s">
        <v>1</v>
      </c>
      <c r="G151" s="6"/>
      <c r="H151" s="6">
        <v>90</v>
      </c>
      <c r="I151" s="6">
        <v>7.4</v>
      </c>
      <c r="J151" s="9">
        <f>50/60</f>
        <v>0.83333333333333337</v>
      </c>
      <c r="K151" s="8" t="s">
        <v>143</v>
      </c>
    </row>
    <row r="152" spans="1:11" ht="15.6" x14ac:dyDescent="0.3">
      <c r="A152" s="5">
        <v>151</v>
      </c>
      <c r="B152" s="6">
        <v>2</v>
      </c>
      <c r="C152" s="6" t="s">
        <v>0</v>
      </c>
      <c r="D152" s="6">
        <v>520</v>
      </c>
      <c r="E152" s="6">
        <v>652</v>
      </c>
      <c r="F152" s="6" t="s">
        <v>1</v>
      </c>
      <c r="G152" s="6"/>
      <c r="H152" s="6">
        <v>0</v>
      </c>
      <c r="I152" s="6"/>
      <c r="J152" s="6"/>
      <c r="K152" s="8" t="s">
        <v>144</v>
      </c>
    </row>
    <row r="153" spans="1:11" ht="15.6" x14ac:dyDescent="0.3">
      <c r="A153" s="5">
        <v>152</v>
      </c>
      <c r="B153" s="6">
        <v>2.5</v>
      </c>
      <c r="C153" s="6" t="s">
        <v>0</v>
      </c>
      <c r="D153" s="6">
        <v>369</v>
      </c>
      <c r="E153" s="6">
        <v>611</v>
      </c>
      <c r="F153" s="6" t="s">
        <v>1</v>
      </c>
      <c r="G153" s="6"/>
      <c r="H153" s="6">
        <v>32</v>
      </c>
      <c r="I153" s="6">
        <v>4</v>
      </c>
      <c r="J153" s="6">
        <v>6</v>
      </c>
      <c r="K153" s="8" t="s">
        <v>145</v>
      </c>
    </row>
    <row r="154" spans="1:11" ht="15.6" x14ac:dyDescent="0.3">
      <c r="A154" s="5">
        <v>153</v>
      </c>
      <c r="B154" s="6">
        <v>2</v>
      </c>
      <c r="C154" s="6" t="s">
        <v>0</v>
      </c>
      <c r="D154" s="6">
        <v>530</v>
      </c>
      <c r="E154" s="6">
        <v>650</v>
      </c>
      <c r="F154" s="6" t="s">
        <v>1</v>
      </c>
      <c r="G154" s="6"/>
      <c r="H154" s="6">
        <v>70</v>
      </c>
      <c r="I154" s="6"/>
      <c r="J154" s="6">
        <v>24</v>
      </c>
      <c r="K154" s="8" t="s">
        <v>146</v>
      </c>
    </row>
    <row r="155" spans="1:11" ht="15.6" x14ac:dyDescent="0.3">
      <c r="A155" s="5">
        <v>154</v>
      </c>
      <c r="B155" s="6">
        <v>2.2000000000000002</v>
      </c>
      <c r="C155" s="6" t="s">
        <v>0</v>
      </c>
      <c r="D155" s="6">
        <v>375</v>
      </c>
      <c r="E155" s="6">
        <v>575</v>
      </c>
      <c r="F155" s="6" t="s">
        <v>1</v>
      </c>
      <c r="G155" s="6"/>
      <c r="H155" s="6">
        <v>70</v>
      </c>
      <c r="I155" s="6"/>
      <c r="J155" s="6">
        <v>24</v>
      </c>
      <c r="K155" s="8" t="s">
        <v>147</v>
      </c>
    </row>
    <row r="156" spans="1:11" ht="15.6" x14ac:dyDescent="0.3">
      <c r="A156" s="5">
        <v>155</v>
      </c>
      <c r="B156" s="6">
        <v>1.76</v>
      </c>
      <c r="C156" s="6" t="s">
        <v>0</v>
      </c>
      <c r="D156" s="6">
        <v>350</v>
      </c>
      <c r="E156" s="6">
        <v>610</v>
      </c>
      <c r="F156" s="6" t="s">
        <v>1</v>
      </c>
      <c r="G156" s="6"/>
      <c r="H156" s="6">
        <v>70</v>
      </c>
      <c r="I156" s="6">
        <v>7</v>
      </c>
      <c r="J156" s="6">
        <v>24</v>
      </c>
      <c r="K156" s="8" t="s">
        <v>148</v>
      </c>
    </row>
    <row r="157" spans="1:11" ht="15.6" x14ac:dyDescent="0.3">
      <c r="A157" s="5">
        <v>156</v>
      </c>
      <c r="B157" s="6">
        <v>2</v>
      </c>
      <c r="C157" s="6" t="s">
        <v>0</v>
      </c>
      <c r="D157" s="6">
        <v>410</v>
      </c>
      <c r="E157" s="6">
        <v>635</v>
      </c>
      <c r="F157" s="6" t="s">
        <v>1</v>
      </c>
      <c r="G157" s="6"/>
      <c r="H157" s="6">
        <v>70</v>
      </c>
      <c r="I157" s="6"/>
      <c r="J157" s="6">
        <v>24</v>
      </c>
      <c r="K157" s="13" t="s">
        <v>149</v>
      </c>
    </row>
    <row r="158" spans="1:11" ht="15.6" x14ac:dyDescent="0.3">
      <c r="A158" s="5">
        <v>157</v>
      </c>
      <c r="B158" s="6">
        <v>1.71</v>
      </c>
      <c r="C158" s="6" t="s">
        <v>0</v>
      </c>
      <c r="D158" s="6">
        <v>370</v>
      </c>
      <c r="E158" s="6">
        <v>615</v>
      </c>
      <c r="F158" s="6" t="s">
        <v>1</v>
      </c>
      <c r="G158" s="6"/>
      <c r="H158" s="6">
        <v>90</v>
      </c>
      <c r="I158" s="6">
        <v>7</v>
      </c>
      <c r="J158" s="6">
        <v>6.5</v>
      </c>
      <c r="K158" s="8" t="s">
        <v>150</v>
      </c>
    </row>
    <row r="159" spans="1:11" ht="15.6" x14ac:dyDescent="0.3">
      <c r="A159" s="5">
        <v>158</v>
      </c>
      <c r="B159" s="6">
        <v>1.1100000000000001</v>
      </c>
      <c r="C159" s="6" t="s">
        <v>0</v>
      </c>
      <c r="D159" s="6">
        <v>370</v>
      </c>
      <c r="E159" s="6">
        <v>615</v>
      </c>
      <c r="F159" s="6" t="s">
        <v>1</v>
      </c>
      <c r="G159" s="6"/>
      <c r="H159" s="6">
        <v>90</v>
      </c>
      <c r="I159" s="6">
        <v>11</v>
      </c>
      <c r="J159" s="6">
        <v>6.5</v>
      </c>
      <c r="K159" s="8" t="s">
        <v>150</v>
      </c>
    </row>
    <row r="160" spans="1:11" ht="31.2" x14ac:dyDescent="0.3">
      <c r="A160" s="5">
        <v>159</v>
      </c>
      <c r="B160" s="6">
        <v>2.5</v>
      </c>
      <c r="C160" s="6" t="s">
        <v>0</v>
      </c>
      <c r="D160" s="6">
        <v>298</v>
      </c>
      <c r="E160" s="6">
        <v>640</v>
      </c>
      <c r="F160" s="6" t="s">
        <v>201</v>
      </c>
      <c r="G160" s="6"/>
      <c r="H160" s="6" t="s">
        <v>190</v>
      </c>
      <c r="I160" s="6"/>
      <c r="J160" s="6">
        <v>6</v>
      </c>
      <c r="K160" s="8" t="s">
        <v>151</v>
      </c>
    </row>
    <row r="161" spans="1:11" ht="15.6" x14ac:dyDescent="0.3">
      <c r="A161" s="5">
        <v>160</v>
      </c>
      <c r="B161" s="6">
        <v>1.76</v>
      </c>
      <c r="C161" s="6" t="s">
        <v>2</v>
      </c>
      <c r="D161" s="6">
        <v>293</v>
      </c>
      <c r="E161" s="6">
        <v>610</v>
      </c>
      <c r="F161" s="6" t="s">
        <v>1</v>
      </c>
      <c r="G161" s="6"/>
      <c r="H161" s="6">
        <v>37</v>
      </c>
      <c r="I161" s="6">
        <v>5</v>
      </c>
      <c r="J161" s="6">
        <v>24</v>
      </c>
      <c r="K161" s="8" t="s">
        <v>152</v>
      </c>
    </row>
    <row r="162" spans="1:11" ht="15.6" x14ac:dyDescent="0.3">
      <c r="A162" s="5">
        <v>161</v>
      </c>
      <c r="B162" s="6">
        <v>2</v>
      </c>
      <c r="C162" s="6" t="s">
        <v>0</v>
      </c>
      <c r="D162" s="6">
        <v>520</v>
      </c>
      <c r="E162" s="6">
        <v>710</v>
      </c>
      <c r="F162" s="6" t="s">
        <v>1</v>
      </c>
      <c r="G162" s="6"/>
      <c r="H162" s="6"/>
      <c r="I162" s="6"/>
      <c r="J162" s="6"/>
      <c r="K162" s="8" t="s">
        <v>155</v>
      </c>
    </row>
    <row r="163" spans="1:11" ht="15.6" x14ac:dyDescent="0.3">
      <c r="A163" s="5">
        <v>162</v>
      </c>
      <c r="B163" s="6">
        <v>1.5</v>
      </c>
      <c r="C163" s="6" t="s">
        <v>0</v>
      </c>
      <c r="D163" s="6">
        <v>405</v>
      </c>
      <c r="E163" s="6">
        <v>535</v>
      </c>
      <c r="F163" s="6" t="s">
        <v>1</v>
      </c>
      <c r="G163" s="6"/>
      <c r="H163" s="6">
        <v>25</v>
      </c>
      <c r="I163" s="6"/>
      <c r="J163" s="6">
        <v>24</v>
      </c>
      <c r="K163" s="8" t="s">
        <v>153</v>
      </c>
    </row>
    <row r="164" spans="1:11" ht="15.6" x14ac:dyDescent="0.3">
      <c r="A164" s="5">
        <v>163</v>
      </c>
      <c r="B164" s="6">
        <v>2</v>
      </c>
      <c r="C164" s="6" t="s">
        <v>0</v>
      </c>
      <c r="D164" s="6">
        <v>380</v>
      </c>
      <c r="E164" s="6">
        <v>640</v>
      </c>
      <c r="F164" s="6" t="s">
        <v>1</v>
      </c>
      <c r="G164" s="6"/>
      <c r="H164" s="6">
        <v>25</v>
      </c>
      <c r="I164" s="6"/>
      <c r="J164" s="6">
        <v>24</v>
      </c>
      <c r="K164" s="8" t="s">
        <v>156</v>
      </c>
    </row>
    <row r="165" spans="1:11" ht="15.6" x14ac:dyDescent="0.3">
      <c r="A165" s="5">
        <v>164</v>
      </c>
      <c r="B165" s="6">
        <v>1.3</v>
      </c>
      <c r="C165" s="6" t="s">
        <v>2</v>
      </c>
      <c r="D165" s="6">
        <v>275</v>
      </c>
      <c r="E165" s="6">
        <v>608</v>
      </c>
      <c r="F165" s="6" t="s">
        <v>1</v>
      </c>
      <c r="G165" s="6"/>
      <c r="H165" s="6">
        <v>25</v>
      </c>
      <c r="I165" s="6">
        <v>7.4</v>
      </c>
      <c r="J165" s="6">
        <v>25</v>
      </c>
      <c r="K165" s="8" t="s">
        <v>157</v>
      </c>
    </row>
    <row r="166" spans="1:11" ht="31.2" x14ac:dyDescent="0.3">
      <c r="A166" s="5">
        <v>165</v>
      </c>
      <c r="B166" s="6">
        <v>2.4</v>
      </c>
      <c r="C166" s="6" t="s">
        <v>0</v>
      </c>
      <c r="D166" s="6">
        <v>357</v>
      </c>
      <c r="E166" s="6">
        <v>448</v>
      </c>
      <c r="F166" s="6" t="s">
        <v>202</v>
      </c>
      <c r="G166" s="6">
        <v>11</v>
      </c>
      <c r="H166" s="6" t="s">
        <v>190</v>
      </c>
      <c r="I166" s="6"/>
      <c r="J166" s="6">
        <v>2</v>
      </c>
      <c r="K166" s="21" t="s">
        <v>154</v>
      </c>
    </row>
    <row r="167" spans="1:11" ht="15.6" x14ac:dyDescent="0.3">
      <c r="A167" s="5">
        <v>166</v>
      </c>
      <c r="B167" s="6">
        <v>2.0699999999999998</v>
      </c>
      <c r="C167" s="6" t="s">
        <v>9</v>
      </c>
      <c r="D167" s="6">
        <v>365</v>
      </c>
      <c r="E167" s="6">
        <v>610</v>
      </c>
      <c r="F167" s="6" t="s">
        <v>1</v>
      </c>
      <c r="G167" s="6"/>
      <c r="H167" s="6">
        <v>70</v>
      </c>
      <c r="I167" s="6"/>
      <c r="J167" s="6">
        <v>24</v>
      </c>
      <c r="K167" s="8" t="s">
        <v>158</v>
      </c>
    </row>
    <row r="168" spans="1:11" ht="15.6" x14ac:dyDescent="0.3">
      <c r="A168" s="5">
        <v>167</v>
      </c>
      <c r="B168" s="6">
        <v>2</v>
      </c>
      <c r="C168" s="6" t="s">
        <v>0</v>
      </c>
      <c r="D168" s="6">
        <v>405</v>
      </c>
      <c r="E168" s="6">
        <v>480</v>
      </c>
      <c r="F168" s="6" t="s">
        <v>1</v>
      </c>
      <c r="G168" s="6"/>
      <c r="H168" s="6">
        <v>25</v>
      </c>
      <c r="I168" s="6">
        <v>7</v>
      </c>
      <c r="J168" s="6">
        <v>24</v>
      </c>
      <c r="K168" s="8" t="s">
        <v>159</v>
      </c>
    </row>
    <row r="169" spans="1:11" ht="15.6" x14ac:dyDescent="0.3">
      <c r="A169" s="5">
        <v>168</v>
      </c>
      <c r="B169" s="6">
        <v>2.2999999999999998</v>
      </c>
      <c r="C169" s="6" t="s">
        <v>0</v>
      </c>
      <c r="D169" s="6">
        <v>396</v>
      </c>
      <c r="E169" s="6">
        <v>600</v>
      </c>
      <c r="F169" s="6" t="s">
        <v>1</v>
      </c>
      <c r="G169" s="6"/>
      <c r="H169" s="6">
        <v>32</v>
      </c>
      <c r="I169" s="6">
        <v>5.5</v>
      </c>
      <c r="J169" s="6">
        <v>36</v>
      </c>
      <c r="K169" s="8" t="s">
        <v>160</v>
      </c>
    </row>
    <row r="170" spans="1:11" ht="15.6" x14ac:dyDescent="0.3">
      <c r="A170" s="5">
        <v>169</v>
      </c>
      <c r="B170" s="6">
        <v>2</v>
      </c>
      <c r="C170" s="6" t="s">
        <v>2</v>
      </c>
      <c r="D170" s="6">
        <v>520</v>
      </c>
      <c r="E170" s="6">
        <v>640</v>
      </c>
      <c r="F170" s="6" t="s">
        <v>1</v>
      </c>
      <c r="G170" s="6"/>
      <c r="H170" s="6">
        <v>25</v>
      </c>
      <c r="I170" s="6">
        <v>5</v>
      </c>
      <c r="J170" s="6">
        <v>24</v>
      </c>
      <c r="K170" s="8" t="s">
        <v>161</v>
      </c>
    </row>
    <row r="171" spans="1:11" ht="15.6" x14ac:dyDescent="0.3">
      <c r="A171" s="5">
        <v>170</v>
      </c>
      <c r="B171" s="6">
        <v>1.64</v>
      </c>
      <c r="C171" s="6" t="s">
        <v>0</v>
      </c>
      <c r="D171" s="6">
        <v>370</v>
      </c>
      <c r="E171" s="6">
        <v>610</v>
      </c>
      <c r="F171" s="6" t="s">
        <v>1</v>
      </c>
      <c r="G171" s="6"/>
      <c r="H171" s="6">
        <v>90</v>
      </c>
      <c r="I171" s="6"/>
      <c r="J171" s="6">
        <v>6.5</v>
      </c>
      <c r="K171" s="8" t="s">
        <v>162</v>
      </c>
    </row>
    <row r="172" spans="1:11" ht="15.6" x14ac:dyDescent="0.3">
      <c r="A172" s="5">
        <v>171</v>
      </c>
      <c r="B172" s="6">
        <v>1.82</v>
      </c>
      <c r="C172" s="6" t="s">
        <v>11</v>
      </c>
      <c r="D172" s="6">
        <v>430</v>
      </c>
      <c r="E172" s="6">
        <v>650</v>
      </c>
      <c r="F172" s="6" t="s">
        <v>1</v>
      </c>
      <c r="G172" s="6"/>
      <c r="H172" s="6" t="s">
        <v>205</v>
      </c>
      <c r="I172" s="6">
        <v>3</v>
      </c>
      <c r="J172" s="6">
        <v>20</v>
      </c>
      <c r="K172" s="8" t="s">
        <v>163</v>
      </c>
    </row>
    <row r="173" spans="1:11" ht="15.6" x14ac:dyDescent="0.3">
      <c r="A173" s="5">
        <v>172</v>
      </c>
      <c r="B173" s="6">
        <v>1.82</v>
      </c>
      <c r="C173" s="6" t="s">
        <v>11</v>
      </c>
      <c r="D173" s="6">
        <v>430</v>
      </c>
      <c r="E173" s="6">
        <v>650</v>
      </c>
      <c r="F173" s="6" t="s">
        <v>1</v>
      </c>
      <c r="G173" s="6"/>
      <c r="H173" s="6" t="s">
        <v>205</v>
      </c>
      <c r="I173" s="6">
        <v>5</v>
      </c>
      <c r="J173" s="6">
        <v>20</v>
      </c>
      <c r="K173" s="8" t="s">
        <v>163</v>
      </c>
    </row>
    <row r="174" spans="1:11" ht="15.6" x14ac:dyDescent="0.3">
      <c r="A174" s="5">
        <v>173</v>
      </c>
      <c r="B174" s="6">
        <v>1.82</v>
      </c>
      <c r="C174" s="6" t="s">
        <v>11</v>
      </c>
      <c r="D174" s="6">
        <v>430</v>
      </c>
      <c r="E174" s="6">
        <v>680</v>
      </c>
      <c r="F174" s="6" t="s">
        <v>1</v>
      </c>
      <c r="G174" s="6"/>
      <c r="H174" s="6" t="s">
        <v>206</v>
      </c>
      <c r="I174" s="6">
        <v>7</v>
      </c>
      <c r="J174" s="6">
        <v>20</v>
      </c>
      <c r="K174" s="8" t="s">
        <v>163</v>
      </c>
    </row>
    <row r="175" spans="1:11" ht="15.6" x14ac:dyDescent="0.3">
      <c r="A175" s="5">
        <v>174</v>
      </c>
      <c r="B175" s="6">
        <v>1.82</v>
      </c>
      <c r="C175" s="6" t="s">
        <v>11</v>
      </c>
      <c r="D175" s="6">
        <v>430</v>
      </c>
      <c r="E175" s="6">
        <v>680</v>
      </c>
      <c r="F175" s="6" t="s">
        <v>1</v>
      </c>
      <c r="G175" s="6"/>
      <c r="H175" s="6" t="s">
        <v>206</v>
      </c>
      <c r="I175" s="6">
        <v>9</v>
      </c>
      <c r="J175" s="6">
        <v>20</v>
      </c>
      <c r="K175" s="8" t="s">
        <v>163</v>
      </c>
    </row>
    <row r="176" spans="1:11" ht="15.6" x14ac:dyDescent="0.3">
      <c r="A176" s="5">
        <v>175</v>
      </c>
      <c r="B176" s="6">
        <v>1.82</v>
      </c>
      <c r="C176" s="6" t="s">
        <v>11</v>
      </c>
      <c r="D176" s="6">
        <v>430</v>
      </c>
      <c r="E176" s="6">
        <v>680</v>
      </c>
      <c r="F176" s="6" t="s">
        <v>1</v>
      </c>
      <c r="G176" s="6"/>
      <c r="H176" s="6" t="s">
        <v>206</v>
      </c>
      <c r="I176" s="6">
        <v>9</v>
      </c>
      <c r="J176" s="6">
        <v>20</v>
      </c>
      <c r="K176" s="8" t="s">
        <v>164</v>
      </c>
    </row>
    <row r="177" spans="1:11" ht="15.6" x14ac:dyDescent="0.3">
      <c r="A177" s="5">
        <v>176</v>
      </c>
      <c r="B177" s="6">
        <v>2</v>
      </c>
      <c r="C177" s="6" t="s">
        <v>0</v>
      </c>
      <c r="D177" s="6">
        <v>396</v>
      </c>
      <c r="E177" s="6">
        <v>611</v>
      </c>
      <c r="F177" s="6" t="s">
        <v>1</v>
      </c>
      <c r="G177" s="6"/>
      <c r="H177" s="6">
        <v>32</v>
      </c>
      <c r="I177" s="6"/>
      <c r="J177" s="6">
        <v>36</v>
      </c>
      <c r="K177" s="8" t="s">
        <v>164</v>
      </c>
    </row>
    <row r="178" spans="1:11" ht="15.6" x14ac:dyDescent="0.3">
      <c r="A178" s="5">
        <v>177</v>
      </c>
      <c r="B178" s="6">
        <v>2.5</v>
      </c>
      <c r="C178" s="6" t="s">
        <v>0</v>
      </c>
      <c r="D178" s="6">
        <v>780</v>
      </c>
      <c r="E178" s="6">
        <v>830</v>
      </c>
      <c r="F178" s="6" t="s">
        <v>1</v>
      </c>
      <c r="G178" s="6"/>
      <c r="H178" s="6">
        <v>55</v>
      </c>
      <c r="I178" s="6">
        <v>7</v>
      </c>
      <c r="J178" s="6">
        <v>12</v>
      </c>
      <c r="K178" s="8" t="s">
        <v>195</v>
      </c>
    </row>
    <row r="179" spans="1:11" ht="62.4" x14ac:dyDescent="0.3">
      <c r="A179" s="5">
        <v>178</v>
      </c>
      <c r="B179" s="6">
        <v>2</v>
      </c>
      <c r="C179" s="6" t="s">
        <v>0</v>
      </c>
      <c r="D179" s="6">
        <v>450</v>
      </c>
      <c r="E179" s="6">
        <v>735</v>
      </c>
      <c r="F179" s="6" t="s">
        <v>203</v>
      </c>
      <c r="G179" s="6">
        <v>36</v>
      </c>
      <c r="H179" s="6">
        <v>80</v>
      </c>
      <c r="I179" s="6"/>
      <c r="J179" s="6">
        <v>24</v>
      </c>
      <c r="K179" s="8" t="s">
        <v>165</v>
      </c>
    </row>
    <row r="180" spans="1:11" ht="15.6" x14ac:dyDescent="0.3">
      <c r="A180" s="5">
        <v>179</v>
      </c>
      <c r="B180" s="6">
        <v>2</v>
      </c>
      <c r="C180" s="6" t="s">
        <v>0</v>
      </c>
      <c r="D180" s="6">
        <v>390</v>
      </c>
      <c r="E180" s="6">
        <v>600</v>
      </c>
      <c r="F180" s="6" t="s">
        <v>1</v>
      </c>
      <c r="G180" s="6"/>
      <c r="H180" s="6" t="s">
        <v>190</v>
      </c>
      <c r="I180" s="6"/>
      <c r="J180" s="6">
        <v>2</v>
      </c>
      <c r="K180" s="8" t="s">
        <v>166</v>
      </c>
    </row>
    <row r="181" spans="1:11" ht="15.6" x14ac:dyDescent="0.3">
      <c r="A181" s="5">
        <v>180</v>
      </c>
      <c r="B181" s="6">
        <v>1.84</v>
      </c>
      <c r="C181" s="6" t="s">
        <v>0</v>
      </c>
      <c r="D181" s="6">
        <v>270</v>
      </c>
      <c r="E181" s="6">
        <v>525</v>
      </c>
      <c r="F181" s="6" t="s">
        <v>1</v>
      </c>
      <c r="G181" s="6"/>
      <c r="H181" s="6">
        <v>0</v>
      </c>
      <c r="I181" s="6"/>
      <c r="J181" s="6">
        <v>1</v>
      </c>
      <c r="K181" s="8" t="s">
        <v>167</v>
      </c>
    </row>
    <row r="182" spans="1:11" ht="15.6" x14ac:dyDescent="0.3">
      <c r="A182" s="5">
        <v>181</v>
      </c>
      <c r="B182" s="6">
        <v>2</v>
      </c>
      <c r="C182" s="6" t="s">
        <v>0</v>
      </c>
      <c r="D182" s="6">
        <v>500</v>
      </c>
      <c r="E182" s="6">
        <v>642</v>
      </c>
      <c r="F182" s="6" t="s">
        <v>1</v>
      </c>
      <c r="G182" s="6"/>
      <c r="H182" s="6"/>
      <c r="I182" s="6"/>
      <c r="J182" s="6"/>
      <c r="K182" s="8" t="s">
        <v>168</v>
      </c>
    </row>
    <row r="183" spans="1:11" ht="15.6" x14ac:dyDescent="0.3">
      <c r="A183" s="5">
        <v>182</v>
      </c>
      <c r="B183" s="6">
        <v>1.8</v>
      </c>
      <c r="C183" s="6" t="s">
        <v>0</v>
      </c>
      <c r="D183" s="6">
        <v>360</v>
      </c>
      <c r="E183" s="6">
        <v>605</v>
      </c>
      <c r="F183" s="6" t="s">
        <v>1</v>
      </c>
      <c r="G183" s="6"/>
      <c r="H183" s="6">
        <v>70</v>
      </c>
      <c r="I183" s="6"/>
      <c r="J183" s="6">
        <v>24</v>
      </c>
      <c r="K183" s="8" t="s">
        <v>169</v>
      </c>
    </row>
    <row r="184" spans="1:11" ht="31.2" x14ac:dyDescent="0.3">
      <c r="A184" s="5">
        <v>183</v>
      </c>
      <c r="B184" s="6">
        <v>1.8</v>
      </c>
      <c r="C184" s="6" t="s">
        <v>2</v>
      </c>
      <c r="D184" s="6">
        <v>420</v>
      </c>
      <c r="E184" s="6">
        <v>620</v>
      </c>
      <c r="F184" s="6" t="s">
        <v>1</v>
      </c>
      <c r="G184" s="6"/>
      <c r="H184" s="6">
        <v>70</v>
      </c>
      <c r="I184" s="6"/>
      <c r="J184" s="6">
        <v>24</v>
      </c>
      <c r="K184" s="8" t="s">
        <v>170</v>
      </c>
    </row>
    <row r="185" spans="1:11" ht="31.2" x14ac:dyDescent="0.3">
      <c r="A185" s="5">
        <v>184</v>
      </c>
      <c r="B185" s="6">
        <v>1.5</v>
      </c>
      <c r="C185" s="6" t="s">
        <v>0</v>
      </c>
      <c r="D185" s="6">
        <v>380</v>
      </c>
      <c r="E185" s="6">
        <v>450</v>
      </c>
      <c r="F185" s="6" t="s">
        <v>1</v>
      </c>
      <c r="G185" s="6"/>
      <c r="H185" s="6">
        <v>70</v>
      </c>
      <c r="I185" s="6"/>
      <c r="J185" s="6">
        <v>24</v>
      </c>
      <c r="K185" s="8" t="s">
        <v>171</v>
      </c>
    </row>
    <row r="186" spans="1:11" ht="15.6" x14ac:dyDescent="0.3">
      <c r="A186" s="5">
        <v>185</v>
      </c>
      <c r="B186" s="6">
        <v>2</v>
      </c>
      <c r="C186" s="6" t="s">
        <v>0</v>
      </c>
      <c r="D186" s="6">
        <v>365</v>
      </c>
      <c r="E186" s="6">
        <v>550</v>
      </c>
      <c r="F186" s="6" t="s">
        <v>1</v>
      </c>
      <c r="G186" s="6"/>
      <c r="H186" s="6">
        <v>70</v>
      </c>
      <c r="I186" s="6"/>
      <c r="J186" s="6">
        <v>24</v>
      </c>
      <c r="K186" s="8" t="s">
        <v>172</v>
      </c>
    </row>
    <row r="187" spans="1:11" ht="15.6" x14ac:dyDescent="0.3">
      <c r="A187" s="5">
        <v>186</v>
      </c>
      <c r="B187" s="6">
        <v>1.9</v>
      </c>
      <c r="C187" s="6" t="s">
        <v>0</v>
      </c>
      <c r="D187" s="6">
        <v>365</v>
      </c>
      <c r="E187" s="6">
        <v>652</v>
      </c>
      <c r="F187" s="6" t="s">
        <v>1</v>
      </c>
      <c r="G187" s="6"/>
      <c r="H187" s="6">
        <v>70</v>
      </c>
      <c r="I187" s="6"/>
      <c r="J187" s="6">
        <v>24</v>
      </c>
      <c r="K187" s="8" t="s">
        <v>173</v>
      </c>
    </row>
    <row r="188" spans="1:11" ht="15.6" x14ac:dyDescent="0.3">
      <c r="A188" s="5">
        <v>187</v>
      </c>
      <c r="B188" s="6">
        <v>2.5</v>
      </c>
      <c r="C188" s="6" t="s">
        <v>0</v>
      </c>
      <c r="D188" s="6">
        <v>275</v>
      </c>
      <c r="E188" s="6">
        <v>610</v>
      </c>
      <c r="F188" s="6" t="s">
        <v>1</v>
      </c>
      <c r="G188" s="6"/>
      <c r="H188" s="6">
        <v>70</v>
      </c>
      <c r="I188" s="6">
        <v>7.5</v>
      </c>
      <c r="J188" s="6">
        <v>24</v>
      </c>
      <c r="K188" s="8" t="s">
        <v>174</v>
      </c>
    </row>
    <row r="189" spans="1:11" ht="15.6" x14ac:dyDescent="0.3">
      <c r="A189" s="5">
        <v>188</v>
      </c>
      <c r="B189" s="6">
        <v>2</v>
      </c>
      <c r="C189" s="6" t="s">
        <v>0</v>
      </c>
      <c r="D189" s="6">
        <v>365</v>
      </c>
      <c r="E189" s="6">
        <v>650</v>
      </c>
      <c r="F189" s="6" t="s">
        <v>1</v>
      </c>
      <c r="G189" s="6"/>
      <c r="H189" s="6">
        <v>70</v>
      </c>
      <c r="I189" s="6">
        <v>8</v>
      </c>
      <c r="J189" s="6">
        <v>24</v>
      </c>
      <c r="K189" s="8" t="s">
        <v>175</v>
      </c>
    </row>
    <row r="190" spans="1:11" ht="31.2" x14ac:dyDescent="0.3">
      <c r="A190" s="5">
        <v>189</v>
      </c>
      <c r="B190" s="6">
        <v>1.7</v>
      </c>
      <c r="C190" s="6" t="s">
        <v>17</v>
      </c>
      <c r="D190" s="6">
        <v>350</v>
      </c>
      <c r="E190" s="6">
        <v>755</v>
      </c>
      <c r="F190" s="6" t="s">
        <v>202</v>
      </c>
      <c r="G190" s="6"/>
      <c r="H190" s="6">
        <v>24</v>
      </c>
      <c r="I190" s="6"/>
      <c r="J190" s="6">
        <v>3</v>
      </c>
      <c r="K190" s="21" t="s">
        <v>176</v>
      </c>
    </row>
    <row r="191" spans="1:11" ht="15.6" x14ac:dyDescent="0.3">
      <c r="A191" s="5">
        <v>190</v>
      </c>
      <c r="B191" s="6">
        <v>2</v>
      </c>
      <c r="C191" s="6" t="s">
        <v>0</v>
      </c>
      <c r="D191" s="6">
        <v>362</v>
      </c>
      <c r="E191" s="6">
        <v>592</v>
      </c>
      <c r="F191" s="6" t="s">
        <v>1</v>
      </c>
      <c r="G191" s="6"/>
      <c r="H191" s="6">
        <v>70</v>
      </c>
      <c r="I191" s="6"/>
      <c r="J191" s="6">
        <v>24</v>
      </c>
      <c r="K191" s="8" t="s">
        <v>177</v>
      </c>
    </row>
    <row r="192" spans="1:11" ht="15.6" x14ac:dyDescent="0.3">
      <c r="A192" s="5">
        <v>191</v>
      </c>
      <c r="B192" s="6">
        <v>2.5</v>
      </c>
      <c r="C192" s="6" t="s">
        <v>0</v>
      </c>
      <c r="D192" s="6">
        <v>395</v>
      </c>
      <c r="E192" s="6">
        <v>610</v>
      </c>
      <c r="F192" s="6" t="s">
        <v>1</v>
      </c>
      <c r="G192" s="6"/>
      <c r="H192" s="6">
        <v>70</v>
      </c>
      <c r="I192" s="6"/>
      <c r="J192" s="6">
        <v>24</v>
      </c>
      <c r="K192" s="8" t="s">
        <v>178</v>
      </c>
    </row>
    <row r="193" spans="1:11" ht="15.6" x14ac:dyDescent="0.3">
      <c r="A193" s="5">
        <v>192</v>
      </c>
      <c r="B193" s="6">
        <v>1.7</v>
      </c>
      <c r="C193" s="6" t="s">
        <v>0</v>
      </c>
      <c r="D193" s="6">
        <v>365</v>
      </c>
      <c r="E193" s="6">
        <v>600</v>
      </c>
      <c r="F193" s="6" t="s">
        <v>1</v>
      </c>
      <c r="G193" s="6"/>
      <c r="H193" s="6">
        <v>90</v>
      </c>
      <c r="I193" s="6"/>
      <c r="J193" s="6">
        <v>6.5</v>
      </c>
      <c r="K193" s="8" t="s">
        <v>179</v>
      </c>
    </row>
    <row r="194" spans="1:11" ht="15.6" x14ac:dyDescent="0.3">
      <c r="A194" s="5">
        <v>193</v>
      </c>
      <c r="B194" s="6">
        <v>2</v>
      </c>
      <c r="C194" s="6" t="s">
        <v>2</v>
      </c>
      <c r="D194" s="6">
        <v>450</v>
      </c>
      <c r="E194" s="6">
        <v>600</v>
      </c>
      <c r="F194" s="6" t="s">
        <v>1</v>
      </c>
      <c r="G194" s="6"/>
      <c r="H194" s="6">
        <v>90</v>
      </c>
      <c r="I194" s="6"/>
      <c r="J194" s="6">
        <v>1.5</v>
      </c>
      <c r="K194" s="8" t="s">
        <v>180</v>
      </c>
    </row>
    <row r="195" spans="1:11" ht="15.6" x14ac:dyDescent="0.3">
      <c r="A195" s="5">
        <v>194</v>
      </c>
      <c r="B195" s="6">
        <v>2</v>
      </c>
      <c r="C195" s="6" t="s">
        <v>2</v>
      </c>
      <c r="D195" s="6">
        <v>400</v>
      </c>
      <c r="E195" s="6">
        <v>590</v>
      </c>
      <c r="F195" s="6" t="s">
        <v>1</v>
      </c>
      <c r="G195" s="6"/>
      <c r="H195" s="6">
        <v>80</v>
      </c>
      <c r="I195" s="6">
        <v>7</v>
      </c>
      <c r="J195" s="6">
        <v>2</v>
      </c>
      <c r="K195" s="8" t="s">
        <v>181</v>
      </c>
    </row>
    <row r="196" spans="1:11" ht="15.6" x14ac:dyDescent="0.3">
      <c r="A196" s="5">
        <v>195</v>
      </c>
      <c r="B196" s="6">
        <v>2.0699999999999998</v>
      </c>
      <c r="C196" s="6" t="s">
        <v>0</v>
      </c>
      <c r="D196" s="6">
        <v>405</v>
      </c>
      <c r="E196" s="6">
        <v>608</v>
      </c>
      <c r="F196" s="6" t="s">
        <v>1</v>
      </c>
      <c r="G196" s="6"/>
      <c r="H196" s="6">
        <v>70</v>
      </c>
      <c r="I196" s="6"/>
      <c r="J196" s="6">
        <v>24</v>
      </c>
      <c r="K196" s="8" t="s">
        <v>182</v>
      </c>
    </row>
    <row r="197" spans="1:11" ht="15.6" x14ac:dyDescent="0.3">
      <c r="A197" s="5">
        <v>196</v>
      </c>
      <c r="B197" s="6">
        <v>2</v>
      </c>
      <c r="C197" s="6" t="s">
        <v>0</v>
      </c>
      <c r="D197" s="6">
        <v>405</v>
      </c>
      <c r="E197" s="6">
        <v>480</v>
      </c>
      <c r="F197" s="6" t="s">
        <v>1</v>
      </c>
      <c r="G197" s="6"/>
      <c r="H197" s="6">
        <v>37</v>
      </c>
      <c r="I197" s="6">
        <v>7</v>
      </c>
      <c r="J197" s="6">
        <v>12</v>
      </c>
      <c r="K197" s="8" t="s">
        <v>159</v>
      </c>
    </row>
    <row r="198" spans="1:11" ht="15.6" x14ac:dyDescent="0.3">
      <c r="A198" s="5">
        <v>197</v>
      </c>
      <c r="B198" s="6">
        <v>1.6</v>
      </c>
      <c r="C198" s="6" t="s">
        <v>0</v>
      </c>
      <c r="D198" s="6">
        <v>530</v>
      </c>
      <c r="E198" s="6">
        <v>750</v>
      </c>
      <c r="F198" s="6" t="s">
        <v>1</v>
      </c>
      <c r="G198" s="6">
        <v>21</v>
      </c>
      <c r="H198" s="6"/>
      <c r="I198" s="6"/>
      <c r="J198" s="6"/>
      <c r="K198" s="8" t="s">
        <v>183</v>
      </c>
    </row>
    <row r="199" spans="1:11" ht="15.6" x14ac:dyDescent="0.3">
      <c r="A199" s="5">
        <v>198</v>
      </c>
      <c r="B199" s="6">
        <v>2</v>
      </c>
      <c r="C199" s="6" t="s">
        <v>0</v>
      </c>
      <c r="D199" s="6">
        <v>320</v>
      </c>
      <c r="E199" s="6">
        <v>650</v>
      </c>
      <c r="F199" s="6" t="s">
        <v>1</v>
      </c>
      <c r="G199" s="6"/>
      <c r="H199" s="6">
        <v>90</v>
      </c>
      <c r="I199" s="6"/>
      <c r="J199" s="6">
        <v>0.5</v>
      </c>
      <c r="K199" s="8" t="s">
        <v>184</v>
      </c>
    </row>
    <row r="200" spans="1:11" ht="78" x14ac:dyDescent="0.3">
      <c r="A200" s="5">
        <v>199</v>
      </c>
      <c r="B200" s="6">
        <v>2</v>
      </c>
      <c r="C200" s="6" t="s">
        <v>0</v>
      </c>
      <c r="D200" s="6">
        <v>380</v>
      </c>
      <c r="E200" s="6">
        <v>510</v>
      </c>
      <c r="F200" s="6" t="s">
        <v>204</v>
      </c>
      <c r="G200" s="6"/>
      <c r="H200" s="6" t="s">
        <v>190</v>
      </c>
      <c r="I200" s="6">
        <v>9</v>
      </c>
      <c r="J200" s="6">
        <v>0.5</v>
      </c>
      <c r="K200" s="21" t="s">
        <v>185</v>
      </c>
    </row>
    <row r="201" spans="1:11" ht="15.6" x14ac:dyDescent="0.3">
      <c r="A201" s="5">
        <v>200</v>
      </c>
      <c r="B201" s="6">
        <v>2</v>
      </c>
      <c r="C201" s="6" t="s">
        <v>2</v>
      </c>
      <c r="D201" s="6">
        <v>370</v>
      </c>
      <c r="E201" s="6">
        <v>610</v>
      </c>
      <c r="F201" s="6" t="s">
        <v>1</v>
      </c>
      <c r="G201" s="6"/>
      <c r="H201" s="6">
        <v>90</v>
      </c>
      <c r="I201" s="6">
        <v>7.4</v>
      </c>
      <c r="J201" s="6">
        <v>6.5</v>
      </c>
      <c r="K201" s="8" t="s">
        <v>186</v>
      </c>
    </row>
    <row r="202" spans="1:11" ht="15.6" x14ac:dyDescent="0.3">
      <c r="A202" s="5">
        <v>201</v>
      </c>
      <c r="B202" s="6">
        <v>2</v>
      </c>
      <c r="C202" s="6" t="s">
        <v>0</v>
      </c>
      <c r="D202" s="6">
        <v>365</v>
      </c>
      <c r="E202" s="6">
        <v>550</v>
      </c>
      <c r="F202" s="6" t="s">
        <v>1</v>
      </c>
      <c r="G202" s="6"/>
      <c r="H202" s="6">
        <v>70</v>
      </c>
      <c r="I202" s="6"/>
      <c r="J202" s="6">
        <v>24</v>
      </c>
      <c r="K202" s="8" t="s">
        <v>187</v>
      </c>
    </row>
    <row r="203" spans="1:11" ht="15.6" x14ac:dyDescent="0.3">
      <c r="A203" s="5">
        <v>202</v>
      </c>
      <c r="B203" s="6">
        <v>2.8</v>
      </c>
      <c r="C203" s="6" t="s">
        <v>2</v>
      </c>
      <c r="D203" s="6">
        <v>402</v>
      </c>
      <c r="E203" s="6">
        <v>507</v>
      </c>
      <c r="F203" s="6" t="s">
        <v>1</v>
      </c>
      <c r="G203" s="6"/>
      <c r="H203" s="6">
        <v>25</v>
      </c>
      <c r="I203" s="6"/>
      <c r="J203" s="6">
        <v>96</v>
      </c>
      <c r="K203" s="8" t="s">
        <v>188</v>
      </c>
    </row>
    <row r="204" spans="1:11" ht="15.6" x14ac:dyDescent="0.3">
      <c r="A204" s="5">
        <v>203</v>
      </c>
      <c r="B204" s="6">
        <v>2</v>
      </c>
      <c r="C204" s="6" t="s">
        <v>0</v>
      </c>
      <c r="D204" s="6">
        <v>475</v>
      </c>
      <c r="E204" s="6">
        <v>510</v>
      </c>
      <c r="F204" s="6" t="s">
        <v>1</v>
      </c>
      <c r="G204" s="6"/>
      <c r="H204" s="6" t="s">
        <v>190</v>
      </c>
      <c r="I204" s="6"/>
      <c r="J204" s="6">
        <v>3</v>
      </c>
      <c r="K204" s="8" t="s">
        <v>189</v>
      </c>
    </row>
    <row r="205" spans="1:11" ht="31.2" x14ac:dyDescent="0.3">
      <c r="A205" s="5">
        <v>204</v>
      </c>
      <c r="B205" s="6">
        <v>2.4</v>
      </c>
      <c r="C205" s="6" t="s">
        <v>0</v>
      </c>
      <c r="D205" s="6">
        <v>384</v>
      </c>
      <c r="E205" s="6">
        <v>455</v>
      </c>
      <c r="F205" s="6" t="s">
        <v>202</v>
      </c>
      <c r="G205" s="6">
        <v>8</v>
      </c>
      <c r="H205" s="6" t="s">
        <v>190</v>
      </c>
      <c r="I205" s="6"/>
      <c r="J205" s="6">
        <v>2</v>
      </c>
      <c r="K205" s="8" t="s">
        <v>154</v>
      </c>
    </row>
    <row r="206" spans="1:11" ht="31.2" x14ac:dyDescent="0.3">
      <c r="A206" s="5">
        <v>205</v>
      </c>
      <c r="B206" s="6">
        <v>2.4</v>
      </c>
      <c r="C206" s="6" t="s">
        <v>0</v>
      </c>
      <c r="D206" s="6">
        <v>330</v>
      </c>
      <c r="E206" s="6">
        <v>385</v>
      </c>
      <c r="F206" s="6" t="s">
        <v>202</v>
      </c>
      <c r="G206" s="6">
        <v>5</v>
      </c>
      <c r="H206" s="6" t="s">
        <v>190</v>
      </c>
      <c r="I206" s="6"/>
      <c r="J206" s="6">
        <v>2</v>
      </c>
      <c r="K206" s="8" t="s">
        <v>154</v>
      </c>
    </row>
    <row r="207" spans="1:11" ht="31.2" x14ac:dyDescent="0.3">
      <c r="A207" s="5">
        <v>206</v>
      </c>
      <c r="B207" s="6">
        <v>2.4</v>
      </c>
      <c r="C207" s="6" t="s">
        <v>0</v>
      </c>
      <c r="D207" s="6">
        <v>313</v>
      </c>
      <c r="E207" s="6">
        <v>371</v>
      </c>
      <c r="F207" s="6" t="s">
        <v>202</v>
      </c>
      <c r="G207" s="6">
        <v>4</v>
      </c>
      <c r="H207" s="6" t="s">
        <v>190</v>
      </c>
      <c r="I207" s="6"/>
      <c r="J207" s="6">
        <v>2</v>
      </c>
      <c r="K207" s="8" t="s">
        <v>154</v>
      </c>
    </row>
    <row r="208" spans="1:11" ht="15.6" x14ac:dyDescent="0.3">
      <c r="A208" s="5">
        <v>207</v>
      </c>
      <c r="B208" s="6">
        <v>1</v>
      </c>
      <c r="C208" s="6" t="s">
        <v>0</v>
      </c>
      <c r="D208" s="6">
        <v>365</v>
      </c>
      <c r="E208" s="6">
        <v>700</v>
      </c>
      <c r="F208" s="6" t="s">
        <v>1</v>
      </c>
      <c r="G208" s="6">
        <v>15</v>
      </c>
      <c r="H208" s="6">
        <v>0</v>
      </c>
      <c r="I208" s="6"/>
      <c r="J208" s="6">
        <v>2</v>
      </c>
      <c r="K208" s="8" t="s">
        <v>196</v>
      </c>
    </row>
  </sheetData>
  <autoFilter ref="A1:K208" xr:uid="{82823EBD-118D-44CD-BF73-1278EE6DF9C8}">
    <filterColumn colId="5">
      <filters>
        <filter val="alkyl thiolate"/>
        <filter val="THIOL"/>
      </filters>
    </filterColumn>
    <filterColumn colId="6">
      <customFilters>
        <customFilter operator="notEqual" val=" "/>
      </customFilters>
    </filterColumn>
  </autoFilter>
  <phoneticPr fontId="2" type="noConversion"/>
  <hyperlinks>
    <hyperlink ref="K5" r:id="rId1" xr:uid="{AA01C19B-ADEF-467B-9B16-5B8D6E196212}"/>
    <hyperlink ref="K6" r:id="rId2" xr:uid="{EC4DF6ED-1FEF-4E1C-B849-25210801028E}"/>
    <hyperlink ref="K7" r:id="rId3" xr:uid="{46651333-FF31-4C7D-8C51-27A1169973F6}"/>
    <hyperlink ref="K9" r:id="rId4" xr:uid="{270D0177-44F1-4D61-92EB-C92F939D4128}"/>
    <hyperlink ref="K10" r:id="rId5" xr:uid="{BDE600B4-3AF1-4216-A4CE-D257AACA8E31}"/>
    <hyperlink ref="K11" r:id="rId6" xr:uid="{A0E3D239-20D3-4A65-A44B-2D52305E84D0}"/>
    <hyperlink ref="K12" r:id="rId7" xr:uid="{D9386542-DCF9-4D0E-8FAA-277B43223EDC}"/>
    <hyperlink ref="K13" r:id="rId8" xr:uid="{BCEF726E-3F37-4D3C-86B3-DF57449E3CA5}"/>
    <hyperlink ref="K14" r:id="rId9" xr:uid="{A76D24FD-17D4-4C0C-AA22-2CA7E612AC62}"/>
    <hyperlink ref="K15" r:id="rId10" xr:uid="{237B057F-072E-4E63-A7B6-9AE35A70EE5D}"/>
    <hyperlink ref="K16" r:id="rId11" xr:uid="{53AFCFC7-A46A-49E2-9142-20B40E3E1227}"/>
    <hyperlink ref="K17" r:id="rId12" xr:uid="{75A4C209-D96F-4DAB-A02A-AD2F5F5DF6DC}"/>
    <hyperlink ref="K19" r:id="rId13" xr:uid="{A4513983-AC6C-4A86-948F-7E671013B52D}"/>
    <hyperlink ref="K20" r:id="rId14" xr:uid="{E386F8DF-319A-4B24-8999-ECA9A62A8F20}"/>
    <hyperlink ref="K21" r:id="rId15" xr:uid="{F10C2B61-6D90-45C7-AF64-E04607603607}"/>
    <hyperlink ref="K23" r:id="rId16" xr:uid="{8D954AE1-CE94-4FA9-A788-AB31AA060148}"/>
    <hyperlink ref="K24" r:id="rId17" xr:uid="{B7C2EDE8-8D11-46E8-908C-D2172F55333A}"/>
    <hyperlink ref="K25" r:id="rId18" xr:uid="{E4C0D9D3-F04D-46CF-880C-B03024D3E691}"/>
    <hyperlink ref="K27" r:id="rId19" xr:uid="{33DC380C-F86D-4C17-8498-1B969D8DB2F7}"/>
    <hyperlink ref="K28" r:id="rId20" xr:uid="{E59F05DA-DFE1-4A1C-8F23-7BA795C9BF81}"/>
    <hyperlink ref="K29" r:id="rId21" xr:uid="{7E493D45-D6BA-44B1-902D-6C3990CEFB2A}"/>
    <hyperlink ref="K30" r:id="rId22" xr:uid="{2E4A3016-EB19-4AA5-B57D-C976CA27379A}"/>
    <hyperlink ref="K31" r:id="rId23" xr:uid="{348F24BD-E47A-41AC-B8D2-CD733AC608A8}"/>
    <hyperlink ref="K32" r:id="rId24" xr:uid="{DF8014B9-7305-4EB1-AEDD-E321A003B8A0}"/>
    <hyperlink ref="K33" r:id="rId25" xr:uid="{C63C32CA-02C1-4833-BD77-31CED852474C}"/>
    <hyperlink ref="K34" r:id="rId26" xr:uid="{42E5C43E-B798-4261-8382-FE7FBC17A595}"/>
    <hyperlink ref="K35" r:id="rId27" xr:uid="{F99D377E-66A1-4FC5-BAD7-25DBDC143C1B}"/>
    <hyperlink ref="K37" r:id="rId28" xr:uid="{F33C174D-768F-42AC-B746-9A7CB4ED8269}"/>
    <hyperlink ref="K38" r:id="rId29" xr:uid="{8573454E-F346-4859-8D0B-65833E16DE39}"/>
    <hyperlink ref="K39" r:id="rId30" xr:uid="{A78F12CB-0AB4-43D1-B41D-72B1AF90A7C5}"/>
    <hyperlink ref="K40" r:id="rId31" xr:uid="{098DE625-8A43-4D65-937E-A8B4A126CE2F}"/>
    <hyperlink ref="K42" r:id="rId32" xr:uid="{36D9975C-F9CA-4DB7-9CFD-D4CC49B87C73}"/>
    <hyperlink ref="K47" r:id="rId33" xr:uid="{9CCF2C50-4DC6-43A4-88F5-9055F852F164}"/>
    <hyperlink ref="K48" r:id="rId34" xr:uid="{1E5D2A00-D43F-4047-AA18-4D8650513980}"/>
    <hyperlink ref="K55" r:id="rId35" display="https://doi.org/10.1007/s00604-024-06484-0" xr:uid="{E24D2776-BA31-4BA9-8FFB-829F3BC2AB78}"/>
    <hyperlink ref="K61" r:id="rId36" xr:uid="{6DEE31A0-D02F-43F0-88CC-E5EC248D0B4E}"/>
    <hyperlink ref="K62" r:id="rId37" xr:uid="{BCEF6DFB-23FE-4066-9471-4E4737C3FAA5}"/>
    <hyperlink ref="K64" r:id="rId38" xr:uid="{4BED61E8-51C9-4A4D-9678-4ACAD6026355}"/>
    <hyperlink ref="K65" r:id="rId39" xr:uid="{F374F43A-F57B-4E15-B60F-64E5C99FDE28}"/>
    <hyperlink ref="K66" r:id="rId40" xr:uid="{A197ACF4-5964-46B4-BFE0-501F5E63EC78}"/>
    <hyperlink ref="K67" r:id="rId41" xr:uid="{AC947D05-105B-4AC9-AE56-FAA29FA99E4F}"/>
    <hyperlink ref="K68" r:id="rId42" xr:uid="{2E2BADA1-7B3C-4841-BCE6-6D4DBE3BDC9E}"/>
    <hyperlink ref="K69" r:id="rId43" xr:uid="{7130B23A-AF32-4AAF-B14B-9D11217F9745}"/>
    <hyperlink ref="K70" r:id="rId44" xr:uid="{D7814F4D-CE47-4018-AE02-A3B7C666FF88}"/>
    <hyperlink ref="K71" r:id="rId45" xr:uid="{0F2A94A0-5D43-4327-AF72-739B99FB5CB3}"/>
    <hyperlink ref="K72" r:id="rId46" xr:uid="{F443CB5C-F4A4-477C-906A-855DBA8438C6}"/>
    <hyperlink ref="K73" r:id="rId47" xr:uid="{6BB31E2E-2034-430F-98C9-006DD6E5CD45}"/>
    <hyperlink ref="K74" r:id="rId48" xr:uid="{BA69059B-862E-45C2-AFC3-AB8DD75FC2F9}"/>
    <hyperlink ref="K75" r:id="rId49" xr:uid="{CFDEC13F-EB66-47E2-B7D1-314B8EE3F95C}"/>
    <hyperlink ref="K76" r:id="rId50" xr:uid="{06425C12-00EB-42EA-B711-57C8231F39ED}"/>
    <hyperlink ref="K77:K78" r:id="rId51" display="https://doi.org/10.1016/j.ica.2023.121431" xr:uid="{06168334-79E2-4345-B462-B681F7AA4E0B}"/>
    <hyperlink ref="K77" r:id="rId52" xr:uid="{57070DBE-5DCD-4B0B-8FF2-C875FA83DAA7}"/>
    <hyperlink ref="K78" r:id="rId53" xr:uid="{D997AD4F-9D51-4ABF-9DDF-3ED0C9C09958}"/>
    <hyperlink ref="K80" r:id="rId54" xr:uid="{BE36BFEC-56F2-4BB0-B661-DD047C7F01F3}"/>
    <hyperlink ref="K81" r:id="rId55" xr:uid="{80BF0005-3EDD-4431-8B50-ABFF96CC4F66}"/>
    <hyperlink ref="K82" r:id="rId56" xr:uid="{280E4FE2-E496-4FFA-BA3D-FBCE6ACA6AB4}"/>
    <hyperlink ref="K83" r:id="rId57" xr:uid="{93CD3F7E-70FC-4A09-B7C1-6D3F92D2FE3F}"/>
    <hyperlink ref="K84" r:id="rId58" xr:uid="{4B21939B-B0AC-4238-92AA-F29ED5B0BC09}"/>
    <hyperlink ref="K85" r:id="rId59" xr:uid="{DC1546A5-D7A4-48A0-9C5A-3EDFB29CC090}"/>
    <hyperlink ref="K79" r:id="rId60" xr:uid="{72BD71F9-4C8C-4440-B4AA-7E02F3165E61}"/>
    <hyperlink ref="K86" r:id="rId61" xr:uid="{97866E0E-232F-4406-9453-D26A2D706E70}"/>
    <hyperlink ref="K87" r:id="rId62" xr:uid="{87122191-6D59-4FF0-9DD6-DE41D4B9027A}"/>
    <hyperlink ref="K88" r:id="rId63" xr:uid="{C8905B62-E74E-4F12-8FE1-DA94BC155A92}"/>
    <hyperlink ref="K90" r:id="rId64" xr:uid="{BF051519-C0EA-46D9-B28E-23C6744F9F01}"/>
    <hyperlink ref="K91" r:id="rId65" xr:uid="{A5F8CE8C-530C-435B-96BD-313277325E5A}"/>
    <hyperlink ref="K92" r:id="rId66" xr:uid="{602FF5AA-CF01-4166-B228-A5E914ABEFA1}"/>
    <hyperlink ref="K93" r:id="rId67" xr:uid="{C2C9147F-D43D-40A1-88A2-1A42A7260CA3}"/>
    <hyperlink ref="K94" r:id="rId68" xr:uid="{CAAA0DD2-9907-4FEB-8435-81827DE199AB}"/>
    <hyperlink ref="K95" r:id="rId69" xr:uid="{9AAA829B-9722-418F-A0E7-9B6C493B3B3A}"/>
    <hyperlink ref="K89" r:id="rId70" xr:uid="{69326E63-70F2-475C-A104-76F095FC3FFD}"/>
    <hyperlink ref="K97" r:id="rId71" xr:uid="{E7768C42-CFBE-49B6-AF1C-45FED4735832}"/>
    <hyperlink ref="K98" r:id="rId72" xr:uid="{7AD84758-2D69-4D56-9297-546893D8F548}"/>
    <hyperlink ref="K99" r:id="rId73" xr:uid="{2AD2B901-28A6-4DB4-A576-EF304180D9A7}"/>
    <hyperlink ref="K100" r:id="rId74" xr:uid="{D03D440C-E4D2-496F-AE9E-BFF5BD073E9F}"/>
    <hyperlink ref="K101" r:id="rId75" xr:uid="{19040AAE-501B-4E52-958F-DF63DFA7FCE4}"/>
    <hyperlink ref="K102" r:id="rId76" xr:uid="{1188E278-9DC1-4575-BE55-3C7E703BB558}"/>
    <hyperlink ref="K103" r:id="rId77" xr:uid="{B9E50B98-CE9F-433F-A117-79E792287ECA}"/>
    <hyperlink ref="K104" r:id="rId78" xr:uid="{64E7E33F-751C-442C-9163-8D384AB14FC3}"/>
    <hyperlink ref="K105" r:id="rId79" xr:uid="{45281959-2F96-4EB0-BDAE-B1443F1666C6}"/>
    <hyperlink ref="K106" r:id="rId80" xr:uid="{2FD774C8-7971-490C-B4D4-65D17F4731B4}"/>
    <hyperlink ref="K108" r:id="rId81" xr:uid="{61465923-0812-4FCF-815C-006FB897BB42}"/>
    <hyperlink ref="K109" r:id="rId82" tooltip="DOI URL" xr:uid="{4BEF89FA-DA78-4049-B131-7243D5CF14FC}"/>
    <hyperlink ref="K110" r:id="rId83" xr:uid="{B8F2AE31-1D14-455A-A2C2-EEEF85536DA6}"/>
    <hyperlink ref="K111" r:id="rId84" xr:uid="{4180D72A-749C-4398-B2AB-62E14F414043}"/>
    <hyperlink ref="K114" r:id="rId85" xr:uid="{5FEE2950-039D-4F44-89E3-761D1908146C}"/>
    <hyperlink ref="K115" r:id="rId86" xr:uid="{2352A291-9107-4CC1-82FB-E3C7F820963B}"/>
    <hyperlink ref="K116" r:id="rId87" display="https://pubs.acs.org/doi/10.1021/acsnano.4c11509" xr:uid="{60D3E670-4938-4EDE-B3FA-BF29B23B10DD}"/>
    <hyperlink ref="K125" r:id="rId88" xr:uid="{ED3E3723-7543-4505-92B0-BED9A23A2D1A}"/>
    <hyperlink ref="K126" r:id="rId89" xr:uid="{8BB99444-4F67-4BD5-BA7A-79A46DF1307E}"/>
    <hyperlink ref="K127" r:id="rId90" xr:uid="{106F965E-54F4-42F9-9A96-3EA48BBA7C47}"/>
    <hyperlink ref="K128" r:id="rId91" xr:uid="{9C2B1253-96E8-438A-916F-F917859868C7}"/>
    <hyperlink ref="K129" r:id="rId92" xr:uid="{500E9258-F3DA-456A-A680-1C9F7AB87557}"/>
    <hyperlink ref="K130" r:id="rId93" xr:uid="{8DF65032-3C6C-48E9-BCCB-907B75A8DCF1}"/>
    <hyperlink ref="K131" r:id="rId94" xr:uid="{7343CBF6-3B41-4DCD-ADE5-2643C1D32645}"/>
    <hyperlink ref="K132" r:id="rId95" xr:uid="{724F8619-B6A4-464A-BCB8-F9AD7E13A1F1}"/>
    <hyperlink ref="K135" r:id="rId96" xr:uid="{7F7910FA-432E-4F91-BCF0-F8675510DF1C}"/>
    <hyperlink ref="K136" r:id="rId97" xr:uid="{AE45C2E1-F247-4D87-B0FE-6DBFA664D3C6}"/>
    <hyperlink ref="K137" r:id="rId98" xr:uid="{32AD3855-75B8-4EBF-997A-07C45703D288}"/>
    <hyperlink ref="K143" r:id="rId99" xr:uid="{88CEBA8F-2B04-4B7A-A394-E8BB9A71BFE2}"/>
    <hyperlink ref="K142" r:id="rId100" display="https://pubs.acs.org/doi/10.1021/ac500528m" xr:uid="{D31BAE6F-E269-4721-966D-ADBA4D8147F5}"/>
    <hyperlink ref="K141" r:id="rId101" xr:uid="{89E08B6A-39D4-48EB-8215-C914A42CBC32}"/>
    <hyperlink ref="K140" r:id="rId102" xr:uid="{DCFCC128-BDC4-4A07-B581-9F244A3089FF}"/>
    <hyperlink ref="K138" r:id="rId103" xr:uid="{FA09D011-D04D-4927-B28C-4041961D489A}"/>
    <hyperlink ref="K146" r:id="rId104" xr:uid="{C2CC5A1F-A180-4A46-B51E-813C8BACA181}"/>
    <hyperlink ref="K148" r:id="rId105" display="https://sci-hub.st/10.1002/smll.201401658" xr:uid="{5E6E0181-F0B9-4AB2-85DB-05D079CE714B}"/>
    <hyperlink ref="K149" r:id="rId106" xr:uid="{11296886-5A8C-48FC-890B-FB814048046B}"/>
    <hyperlink ref="K151" r:id="rId107" xr:uid="{DBEA1163-BC61-479D-94B7-DB8F24A05E47}"/>
    <hyperlink ref="K150" r:id="rId108" xr:uid="{1E6FCE5C-1D4A-4FB1-8D4A-D6CF01B98303}"/>
    <hyperlink ref="K147" r:id="rId109" xr:uid="{4EDD93B6-3D77-442F-B67B-E76CE82187F4}"/>
    <hyperlink ref="K152" r:id="rId110" display="https://sci-hub.st/10.1002/adfm.201403095" xr:uid="{67B2B162-CC15-4FEE-9BD6-93EEDB52E508}"/>
    <hyperlink ref="K154" r:id="rId111" display="https://sci-hub.st/10.1039/c5tc00290g" xr:uid="{A7262BDA-2EC5-44D7-9C1A-171D9F72F705}"/>
    <hyperlink ref="K155" r:id="rId112" display="https://sci-hub.st/10.1039/C5AN01378J" xr:uid="{ED2495F2-8E17-4D90-9B1D-BBB15C183BAC}"/>
    <hyperlink ref="K156" r:id="rId113" xr:uid="{19166464-B381-45D7-9246-128D7CF1ECDB}"/>
    <hyperlink ref="K158" r:id="rId114" xr:uid="{E256B71E-8F0D-403A-99A4-A4AF1A41BAFB}"/>
    <hyperlink ref="K159" r:id="rId115" xr:uid="{5C238602-0AB7-4C82-8CCB-A0DE0874EE6F}"/>
    <hyperlink ref="K161" r:id="rId116" xr:uid="{C43D29A4-85FA-4B5A-8DB7-85BA27E793E7}"/>
    <hyperlink ref="K166" r:id="rId117" xr:uid="{AF2F5A4B-179B-4126-A995-DC1449963F1D}"/>
    <hyperlink ref="K157" r:id="rId118" tooltip="Persistent link using digital object identifier" xr:uid="{B1DE9FF1-D297-4B88-94AF-BADC6A448587}"/>
    <hyperlink ref="K162" r:id="rId119" xr:uid="{CD096467-6204-45E6-AC83-85850D1D3D90}"/>
    <hyperlink ref="K164" r:id="rId120" xr:uid="{18B8D991-EF77-4D17-85B4-8B84CDFD5CAE}"/>
    <hyperlink ref="K165" r:id="rId121" xr:uid="{20EAA999-0994-4EA5-BA43-1D26CF80E5F4}"/>
    <hyperlink ref="K167" r:id="rId122" xr:uid="{062E1A4F-7A07-41B6-9BF9-6262D1746C3B}"/>
    <hyperlink ref="K176" r:id="rId123" xr:uid="{723E1CAD-A5B5-45EC-88DA-1FAF86F78BCF}"/>
    <hyperlink ref="K180" r:id="rId124" xr:uid="{7ADECF04-3A87-44B1-BE40-867CB9AD386C}"/>
    <hyperlink ref="K182" r:id="rId125" xr:uid="{D3F41BF5-1023-4AD8-8A70-66C03E7AC2AA}"/>
    <hyperlink ref="K184" r:id="rId126" xr:uid="{6B210B26-7914-44F3-96C7-6CBC63EF0150}"/>
    <hyperlink ref="K185" r:id="rId127" xr:uid="{C2ACD5CE-0F83-4EBC-BE8C-3DBEC8940C48}"/>
    <hyperlink ref="K177" r:id="rId128" xr:uid="{B16C29BB-81DA-4947-91CC-263B88EC2299}"/>
    <hyperlink ref="K181" r:id="rId129" xr:uid="{5FF907CA-DF6D-45A4-9B05-12CF628CD625}"/>
    <hyperlink ref="K183" r:id="rId130" xr:uid="{CDDC7D91-0A12-461C-BF3C-1531D15905B4}"/>
    <hyperlink ref="K186" r:id="rId131" xr:uid="{8AC8EB71-9FCC-460B-8A57-794B245D8161}"/>
    <hyperlink ref="K187" r:id="rId132" display="https://pubs.acs.org/doi/10.1021/acssuschemeng.7b03794" xr:uid="{D27B16A8-68EB-4467-A7BD-4AD87C041DF0}"/>
    <hyperlink ref="K188" r:id="rId133" xr:uid="{B2E20D64-A75B-4914-A392-091E3D9D56EF}"/>
    <hyperlink ref="K189" r:id="rId134" xr:uid="{BFCDC050-2D9E-4585-BA19-F509E2A90E4F}"/>
    <hyperlink ref="K190" r:id="rId135" xr:uid="{26FF23CE-8C46-4BBB-9046-21A5E8921267}"/>
    <hyperlink ref="K191" r:id="rId136" xr:uid="{4A966B81-BFFE-4330-B280-CAD587003B22}"/>
    <hyperlink ref="K192" r:id="rId137" xr:uid="{D2585204-72D7-4C41-870F-CC8E1329EADB}"/>
    <hyperlink ref="K193" r:id="rId138" xr:uid="{86C06737-9041-4725-A8E2-97271B58B58C}"/>
    <hyperlink ref="K194" r:id="rId139" xr:uid="{01D67E64-6743-4F0E-8205-5800C0418CBE}"/>
    <hyperlink ref="K195" r:id="rId140" xr:uid="{672794FB-69F3-4227-8639-272E3EE6E062}"/>
    <hyperlink ref="K199" r:id="rId141" tooltip="Persistent link using digital object identifier" xr:uid="{AEDD33C8-85CB-4639-994C-6A2194DBE01B}"/>
    <hyperlink ref="K200" r:id="rId142" xr:uid="{83697388-8AA3-4A49-BC25-873365FF7FCC}"/>
    <hyperlink ref="K201" r:id="rId143" tooltip="Link to landing page via DOI" xr:uid="{41B3812B-013A-4A0A-8E9E-62301C41FD4E}"/>
    <hyperlink ref="K202" r:id="rId144" tooltip="Link to landing page via DOI" xr:uid="{4CBD37A7-2292-4B80-9679-3741DEAE8E67}"/>
    <hyperlink ref="K203" r:id="rId145" tooltip="DOI URL" xr:uid="{2CE6A236-DBE3-44C2-877F-9B4ED66DA877}"/>
    <hyperlink ref="K205" r:id="rId146" xr:uid="{24462775-9B20-417D-8989-20F438E4BBB4}"/>
    <hyperlink ref="K206:K207" r:id="rId147" display="https://doi.org/10.1039/C6CP00538A" xr:uid="{CE1D4F61-BBCA-4AF6-B6EF-D1B9679121B6}"/>
    <hyperlink ref="K178" r:id="rId148" xr:uid="{DED825AC-81DC-41A4-B8E5-1F9CC3606E54}"/>
    <hyperlink ref="K208" r:id="rId149" xr:uid="{F86E644B-3EE4-4EC5-80EB-7FB4DB864FEA}"/>
    <hyperlink ref="K49" r:id="rId150" xr:uid="{74D9D2EE-C29D-4113-B801-A14C82149E23}"/>
    <hyperlink ref="K56" r:id="rId151" xr:uid="{4C42D5AB-4FEA-45F8-9D43-5B27C525FA83}"/>
  </hyperlinks>
  <pageMargins left="0.7" right="0.7" top="0.75" bottom="0.75" header="0.3" footer="0.3"/>
  <pageSetup paperSize="9" scale="39" fitToWidth="0" fitToHeight="2" orientation="portrait" r:id="rId15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0631593BD3F24B91DF239DA5B2C5B3" ma:contentTypeVersion="11" ma:contentTypeDescription="Crear nuevo documento." ma:contentTypeScope="" ma:versionID="d963fdf8ac89a86906de03e84e7f8764">
  <xsd:schema xmlns:xsd="http://www.w3.org/2001/XMLSchema" xmlns:xs="http://www.w3.org/2001/XMLSchema" xmlns:p="http://schemas.microsoft.com/office/2006/metadata/properties" xmlns:ns2="5a286f16-1c9a-4d29-a47e-100a0dbc7d47" xmlns:ns3="9de47de7-7b89-478e-af85-7a8188dd7a2d" targetNamespace="http://schemas.microsoft.com/office/2006/metadata/properties" ma:root="true" ma:fieldsID="950179a6c9be939194f04ffe7607e8fc" ns2:_="" ns3:_="">
    <xsd:import namespace="5a286f16-1c9a-4d29-a47e-100a0dbc7d47"/>
    <xsd:import namespace="9de47de7-7b89-478e-af85-7a8188dd7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86f16-1c9a-4d29-a47e-100a0dbc7d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2575e52-3e5f-4a4c-9122-9f0195bc6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47de7-7b89-478e-af85-7a8188dd7a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fe86ad8-9bbc-446c-a847-0044d6189213}" ma:internalName="TaxCatchAll" ma:showField="CatchAllData" ma:web="9de47de7-7b89-478e-af85-7a8188dd7a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e47de7-7b89-478e-af85-7a8188dd7a2d" xsi:nil="true"/>
    <lcf76f155ced4ddcb4097134ff3c332f xmlns="5a286f16-1c9a-4d29-a47e-100a0dbc7d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00E84F-B0F1-486E-8AD0-F7C1592D2F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5DB5B-E6D2-4874-9171-AE730165D2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286f16-1c9a-4d29-a47e-100a0dbc7d47"/>
    <ds:schemaRef ds:uri="9de47de7-7b89-478e-af85-7a8188dd7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926204-277C-4AB6-875D-BCDA317C7C4D}">
  <ds:schemaRefs>
    <ds:schemaRef ds:uri="http://purl.org/dc/dcmitype/"/>
    <ds:schemaRef ds:uri="http://schemas.microsoft.com/office/2006/documentManagement/types"/>
    <ds:schemaRef ds:uri="5a286f16-1c9a-4d29-a47e-100a0dbc7d47"/>
    <ds:schemaRef ds:uri="http://schemas.microsoft.com/office/2006/metadata/properties"/>
    <ds:schemaRef ds:uri="http://purl.org/dc/elements/1.1/"/>
    <ds:schemaRef ds:uri="9de47de7-7b89-478e-af85-7a8188dd7a2d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Francés Soriano</dc:creator>
  <cp:lastModifiedBy>Laura Francés Soriano</cp:lastModifiedBy>
  <dcterms:created xsi:type="dcterms:W3CDTF">2025-04-01T14:14:49Z</dcterms:created>
  <dcterms:modified xsi:type="dcterms:W3CDTF">2025-06-25T12:27:47Z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0x010100DA0631593BD3F24B91DF239DA5B2C5B3</vt:lpwstr>
  </property>
  <property fmtid="{D5CDD505-2E9C-101B-9397-08002B2CF9AE}" pid="3" name="MediaServiceImageTags">
    <vt:lpwstr/>
  </property>
</Properties>
</file>