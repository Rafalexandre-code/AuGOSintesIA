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r\Desktop\Qubots\"/>
    </mc:Choice>
  </mc:AlternateContent>
  <xr:revisionPtr revIDLastSave="0" documentId="13_ncr:1_{92C273C0-3DCD-4067-862B-B91EF8D05962}" xr6:coauthVersionLast="47" xr6:coauthVersionMax="47" xr10:uidLastSave="{00000000-0000-0000-0000-000000000000}"/>
  <bookViews>
    <workbookView xWindow="-108" yWindow="-108" windowWidth="24792" windowHeight="14856" xr2:uid="{AA9164E2-3EC1-4B15-A2DB-058E4FF02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" i="1" l="1"/>
  <c r="F22" i="1"/>
  <c r="F9" i="1"/>
  <c r="F10" i="1"/>
  <c r="F11" i="1"/>
  <c r="F12" i="1"/>
  <c r="F13" i="1"/>
  <c r="F14" i="1"/>
  <c r="F15" i="1"/>
  <c r="F16" i="1"/>
  <c r="F17" i="1"/>
  <c r="F19" i="1"/>
  <c r="F20" i="1"/>
  <c r="F21" i="1"/>
  <c r="F24" i="1"/>
  <c r="F25" i="1"/>
  <c r="F26" i="1"/>
  <c r="F27" i="1"/>
  <c r="F28" i="1"/>
  <c r="F29" i="1"/>
  <c r="F8" i="1"/>
</calcChain>
</file>

<file path=xl/sharedStrings.xml><?xml version="1.0" encoding="utf-8"?>
<sst xmlns="http://schemas.openxmlformats.org/spreadsheetml/2006/main" count="82" uniqueCount="67">
  <si>
    <t>Part Name</t>
  </si>
  <si>
    <t>Working BOM</t>
  </si>
  <si>
    <t>Exported by</t>
  </si>
  <si>
    <t>Time of Export</t>
  </si>
  <si>
    <t/>
  </si>
  <si>
    <t>Source</t>
  </si>
  <si>
    <t>Quantity</t>
  </si>
  <si>
    <t>Level</t>
  </si>
  <si>
    <t>Wiring</t>
  </si>
  <si>
    <t>https://www.aliexpress.com/item/1005009105213401.html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</si>
  <si>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</si>
  <si>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</si>
  <si>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</si>
  <si>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</si>
  <si>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</si>
  <si>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</si>
  <si>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</si>
  <si>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</si>
  <si>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</si>
  <si>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Cable chain 15x15 mm</t>
  </si>
  <si>
    <t>https://www.aliexpress.com/item/1005010626878964.html</t>
  </si>
  <si>
    <t>JST SM connector 2.54 mm 4-pin male housing</t>
  </si>
  <si>
    <t>JST SM connector 2.54 mm 4-pin female housing</t>
  </si>
  <si>
    <t>JST SM connector 2.54 mm 2-pin male housing</t>
  </si>
  <si>
    <t>JST SM connector 2.54 mm 2-pin female housing</t>
  </si>
  <si>
    <t>JST SM connector 2.54 mm female crimp</t>
  </si>
  <si>
    <t>JST SM connector 2.54 mm male crimp</t>
  </si>
  <si>
    <t>1.1.10</t>
  </si>
  <si>
    <t>Fastener</t>
  </si>
  <si>
    <t>HEX CSK M3X06</t>
  </si>
  <si>
    <t>Duet3 Mini 5+ Wifi</t>
  </si>
  <si>
    <t>1.2.1</t>
  </si>
  <si>
    <t>https://www.duet3d.com/duet3mini5plus</t>
  </si>
  <si>
    <t>Duet3 Mini 5+ Wifi Build</t>
  </si>
  <si>
    <t>Arduino Build</t>
  </si>
  <si>
    <t>1.3.1</t>
  </si>
  <si>
    <t>Arduino Nano</t>
  </si>
  <si>
    <t>https://store-usa.arduino.cc/products/arduino-nano</t>
  </si>
  <si>
    <t>1.3.2</t>
  </si>
  <si>
    <t>DRV8825 Stepper Driver</t>
  </si>
  <si>
    <t>https://www.pololu.com/product/2133</t>
  </si>
  <si>
    <t>https://www.aliexpress.com/item/1005003288007057.html</t>
  </si>
  <si>
    <t>https://www.duet3d.com/page/genuine-resellers</t>
  </si>
  <si>
    <t>https://www.aliexpress.com/item/1005002814006780.html</t>
  </si>
  <si>
    <t>https://www.aliexpress.com/item/1005004247140094.html</t>
  </si>
  <si>
    <t>Stepper Driver Expansion Board (42)</t>
  </si>
  <si>
    <t>Custom</t>
  </si>
  <si>
    <t>1.2.2</t>
  </si>
  <si>
    <t>Arduino Nano mount</t>
  </si>
  <si>
    <t>Stepper Driver Expansion Board mount</t>
  </si>
  <si>
    <t>HEAT INSERT M3XL3XOD4.5</t>
  </si>
  <si>
    <t>1.2.3</t>
  </si>
  <si>
    <t>1.3.3</t>
  </si>
  <si>
    <t>1.3.4</t>
  </si>
  <si>
    <t>1.3.5</t>
  </si>
  <si>
    <t>1.3.6</t>
  </si>
  <si>
    <t>Unit Price (USD)</t>
  </si>
  <si>
    <t>Official Source</t>
  </si>
  <si>
    <t>https://www.aliexpress.com/item/1005003593908797.html</t>
  </si>
  <si>
    <t>Shielded 2-core 24 AWG (2 metres)</t>
  </si>
  <si>
    <t>Shielded 4-core 22 AWG (2 metres)</t>
  </si>
  <si>
    <t>Official Unit Price (USD)</t>
  </si>
  <si>
    <t>Subtotal Price (USD)</t>
  </si>
  <si>
    <t>Duet3 Mini 5+ mount</t>
  </si>
  <si>
    <t>1.2.4</t>
  </si>
  <si>
    <t>BUTTON M3X04</t>
  </si>
  <si>
    <t>1.3.7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</si>
</sst>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</font>
    <font>
      <b/>
      <sz val="12"/>
      <name val="Calibri"/>
      <family val="2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/>
    <xf numFmtId="0" fontId="4" fillId="2" borderId="0" xfId="1" applyFont="1" applyFill="1"/>
    <xf numFmtId="0" fontId="0" fillId="2" borderId="0" xfId="0" applyFill="1"/>
    <xf numFmtId="0" fontId="7" fillId="0" borderId="0" xfId="0" applyFont="1"/>
    <xf numFmtId="0" fontId="4" fillId="0" borderId="0" xfId="1" applyFont="1"/>
    <xf numFmtId="0" fontId="3" fillId="2" borderId="0" xfId="0" applyFont="1" applyFill="1"/>
    <xf numFmtId="0" fontId="5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7" fillId="2" borderId="0" xfId="0" applyFont="1" applyFill="1"/>
    <xf numFmtId="0" fontId="4" fillId="0" borderId="0" xfId="1" applyFont="1" applyFill="1" applyBorder="1" applyAlignment="1">
      <alignment wrapText="1"/>
    </xf>
    <xf numFmtId="0" fontId="4" fillId="0" borderId="0" xfId="1" applyFont="1" applyFill="1" applyBorder="1"/>
    <xf numFmtId="0" fontId="8" fillId="0" borderId="0" xfId="1" applyFont="1" applyFill="1" applyBorder="1" applyAlignment="1">
      <alignment wrapText="1"/>
    </xf>
    <xf numFmtId="0" fontId="8" fillId="0" borderId="0" xfId="0" applyFont="1"/>
    <xf numFmtId="0" fontId="3" fillId="2" borderId="0" xfId="0" applyFont="1" applyFill="1" applyAlignment="1">
      <alignment horizontal="center"/>
    </xf>
    <xf numFmtId="15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4247140094.html" TargetMode="External"/><Relationship Id="rId3" Type="http://schemas.openxmlformats.org/officeDocument/2006/relationships/hyperlink" Target="https://www.aliexpress.com/item/1005009105213401.html" TargetMode="External"/><Relationship Id="rId7" Type="http://schemas.openxmlformats.org/officeDocument/2006/relationships/hyperlink" Target="https://www.aliexpress.com/item/1005002814006780.html" TargetMode="External"/><Relationship Id="rId2" Type="http://schemas.openxmlformats.org/officeDocument/2006/relationships/hyperlink" Target="https://www.aliexpress.com/item/1005009105213401.html" TargetMode="External"/><Relationship Id="rId1" Type="http://schemas.openxmlformats.org/officeDocument/2006/relationships/hyperlink" Target="https://www.aliexpress.com/item/1005009105213401.html" TargetMode="External"/><Relationship Id="rId6" Type="http://schemas.openxmlformats.org/officeDocument/2006/relationships/hyperlink" Target="https://www.duet3d.com/duet3mini5plus" TargetMode="External"/><Relationship Id="rId11" Type="http://schemas.openxmlformats.org/officeDocument/2006/relationships/hyperlink" Target="https://www.aliexpress.com/item/1005010626878964.html" TargetMode="External"/><Relationship Id="rId5" Type="http://schemas.openxmlformats.org/officeDocument/2006/relationships/hyperlink" Target="https://www.pololu.com/product/2133" TargetMode="External"/><Relationship Id="rId10" Type="http://schemas.openxmlformats.org/officeDocument/2006/relationships/hyperlink" Target="https://www.aliexpress.com/item/1005003593908797.html" TargetMode="External"/><Relationship Id="rId4" Type="http://schemas.openxmlformats.org/officeDocument/2006/relationships/hyperlink" Target="https://www.duet3d.com/page/genuine-resellers" TargetMode="External"/><Relationship Id="rId9" Type="http://schemas.openxmlformats.org/officeDocument/2006/relationships/hyperlink" Target="https://www.aliexpress.com/item/100500359390879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E4C3-995F-47F5-B563-43186C9081C8}">
  <dimension ref="A1:H34"/>
  <sheetViews>
    <sheetView tabSelected="1" workbookViewId="0">
      <selection activeCell="E32" sqref="E32"/>
    </sheetView>
  </sheetViews>
  <sheetFormatPr defaultRowHeight="15.6" x14ac:dyDescent="0.3"/>
  <cols>
    <col min="1" max="1" width="14.77734375" bestFit="1" customWidth="1"/>
    <col min="2" max="2" width="46.88671875" bestFit="1" customWidth="1"/>
    <col min="3" max="3" width="57.5546875" bestFit="1" customWidth="1"/>
    <col min="4" max="4" width="9.21875" style="11" bestFit="1" customWidth="1"/>
    <col min="5" max="5" width="16" bestFit="1" customWidth="1"/>
    <col min="6" max="6" width="20" bestFit="1" customWidth="1"/>
    <col min="7" max="7" width="50.77734375" bestFit="1" customWidth="1"/>
    <col min="8" max="8" width="18.6640625" bestFit="1" customWidth="1"/>
  </cols>
  <sheetData>
    <row r="1" spans="1:8" x14ac:dyDescent="0.3">
      <c r="A1" s="1" t="s">
        <v>0</v>
      </c>
      <c r="B1" s="1"/>
      <c r="C1" s="1"/>
      <c r="D1" s="4"/>
      <c r="E1" s="2"/>
      <c r="F1" s="2"/>
      <c r="G1" s="2"/>
      <c r="H1" s="1"/>
    </row>
    <row r="2" spans="1:8" x14ac:dyDescent="0.3">
      <c r="A2" s="1" t="s">
        <v>1</v>
      </c>
      <c r="B2" s="1"/>
      <c r="C2" s="1"/>
      <c r="D2" s="4"/>
      <c r="E2" s="2"/>
      <c r="F2" s="2"/>
      <c r="G2" s="2"/>
      <c r="H2" s="1"/>
    </row>
    <row r="3" spans="1:8" x14ac:dyDescent="0.3">
      <c r="A3" s="3" t="s">
        <v>2</v>
      </c>
      <c r="B3" s="3"/>
      <c r="C3" s="3"/>
      <c r="D3" s="4"/>
      <c r="E3" s="4"/>
      <c r="F3" s="4"/>
      <c r="G3" s="4"/>
      <c r="H3" s="1"/>
    </row>
    <row r="4" spans="1:8" x14ac:dyDescent="0.3">
      <c r="A4" s="3" t="s">
        <v>3</v>
      </c>
      <c r="B4" s="22">
        <v>46146</v>
      </c>
      <c r="C4" s="3"/>
      <c r="D4" s="4"/>
      <c r="E4" s="4"/>
      <c r="F4" s="4"/>
      <c r="G4" s="4"/>
      <c r="H4" s="1"/>
    </row>
    <row r="5" spans="1:8" x14ac:dyDescent="0.3">
      <c r="A5" s="3" t="s">
        <v>4</v>
      </c>
      <c r="B5" s="3"/>
      <c r="C5" s="3"/>
      <c r="D5" s="4"/>
      <c r="E5" s="4"/>
      <c r="F5" s="4"/>
      <c r="G5" s="4"/>
      <c r="H5" s="1"/>
    </row>
    <row r="6" spans="1:8" x14ac:dyDescent="0.3">
      <c r="A6" s="4" t="s">
        <v>7</v>
      </c>
      <c r="B6" s="3" t="s">
        <v>0</v>
      </c>
      <c r="C6" s="3" t="s">
        <v>5</v>
      </c>
      <c r="D6" s="6" t="s">
        <v>6</v>
      </c>
      <c r="E6" s="6" t="s">
        <v>56</v>
      </c>
      <c r="F6" s="6" t="s">
        <v>62</v>
      </c>
      <c r="G6" s="6" t="s">
        <v>57</v>
      </c>
      <c r="H6" s="3" t="s">
        <v>61</v>
      </c>
    </row>
    <row r="7" spans="1:8" s="10" customFormat="1" x14ac:dyDescent="0.3">
      <c r="A7" s="7">
        <v>1.1000000000000001</v>
      </c>
      <c r="B7" s="13" t="s">
        <v>8</v>
      </c>
      <c r="C7" s="9"/>
      <c r="D7" s="21"/>
      <c r="E7" s="21"/>
      <c r="F7" s="21"/>
      <c r="G7" s="21"/>
      <c r="H7" s="8"/>
    </row>
    <row r="8" spans="1:8" x14ac:dyDescent="0.3">
      <c r="A8" s="3" t="s">
        <v>10</v>
      </c>
      <c r="B8" s="5" t="s">
        <v>59</v>
      </c>
      <c r="C8" s="12" t="s">
        <v>58</v>
      </c>
      <c r="D8" s="11">
        <v>1</v>
      </c>
      <c r="E8" s="11">
        <v>4.8</v>
      </c>
      <c r="F8" s="11">
        <f>D8*E8</f>
        <v>4.8</v>
      </c>
      <c r="G8" s="11"/>
    </row>
    <row r="9" spans="1:8" x14ac:dyDescent="0.3">
      <c r="A9" s="3" t="s">
        <v>11</v>
      </c>
      <c r="B9" s="3" t="s">
        <v>60</v>
      </c>
      <c r="C9" s="12" t="s">
        <v>58</v>
      </c>
      <c r="D9" s="11">
        <v>1</v>
      </c>
      <c r="E9" s="11">
        <v>6.1</v>
      </c>
      <c r="F9" s="11">
        <f t="shared" ref="F9:F29" si="0">D9*E9</f>
        <v>6.1</v>
      </c>
      <c r="G9" s="11"/>
    </row>
    <row r="10" spans="1:8" x14ac:dyDescent="0.3">
      <c r="A10" s="3" t="s">
        <v>12</v>
      </c>
      <c r="B10" s="3" t="s">
        <v>21</v>
      </c>
      <c r="C10" s="12" t="s">
        <v>9</v>
      </c>
      <c r="D10" s="11">
        <v>4</v>
      </c>
      <c r="E10" s="11">
        <v>0.05</v>
      </c>
      <c r="F10" s="11">
        <f t="shared" si="0"/>
        <v>0.2</v>
      </c>
      <c r="G10" s="11"/>
    </row>
    <row r="11" spans="1:8" x14ac:dyDescent="0.3">
      <c r="A11" s="3" t="s">
        <v>13</v>
      </c>
      <c r="B11" s="3" t="s">
        <v>22</v>
      </c>
      <c r="C11" s="12" t="s">
        <v>9</v>
      </c>
      <c r="D11" s="11">
        <v>4</v>
      </c>
      <c r="E11" s="11">
        <v>0.05</v>
      </c>
      <c r="F11" s="11">
        <f t="shared" si="0"/>
        <v>0.2</v>
      </c>
      <c r="G11" s="11"/>
    </row>
    <row r="12" spans="1:8" x14ac:dyDescent="0.3">
      <c r="A12" s="3" t="s">
        <v>14</v>
      </c>
      <c r="B12" s="3" t="s">
        <v>23</v>
      </c>
      <c r="C12" s="11" t="s">
        <v>9</v>
      </c>
      <c r="D12" s="11">
        <v>3</v>
      </c>
      <c r="E12" s="11">
        <v>0.05</v>
      </c>
      <c r="F12" s="11">
        <f t="shared" si="0"/>
        <v>0.15000000000000002</v>
      </c>
      <c r="G12" s="11"/>
    </row>
    <row r="13" spans="1:8" x14ac:dyDescent="0.3">
      <c r="A13" s="3" t="s">
        <v>15</v>
      </c>
      <c r="B13" s="3" t="s">
        <v>24</v>
      </c>
      <c r="C13" s="12" t="s">
        <v>9</v>
      </c>
      <c r="D13" s="11">
        <v>3</v>
      </c>
      <c r="E13" s="11">
        <v>0.05</v>
      </c>
      <c r="F13" s="11">
        <f t="shared" si="0"/>
        <v>0.15000000000000002</v>
      </c>
      <c r="G13" s="11"/>
    </row>
    <row r="14" spans="1:8" x14ac:dyDescent="0.3">
      <c r="A14" s="3" t="s">
        <v>16</v>
      </c>
      <c r="B14" s="3" t="s">
        <v>25</v>
      </c>
      <c r="C14" s="11" t="s">
        <v>9</v>
      </c>
      <c r="D14" s="11">
        <v>20</v>
      </c>
      <c r="E14" s="11">
        <v>0.05</v>
      </c>
      <c r="F14" s="11">
        <f t="shared" si="0"/>
        <v>1</v>
      </c>
      <c r="G14" s="11"/>
    </row>
    <row r="15" spans="1:8" x14ac:dyDescent="0.3">
      <c r="A15" s="3" t="s">
        <v>17</v>
      </c>
      <c r="B15" s="3" t="s">
        <v>26</v>
      </c>
      <c r="C15" s="11" t="s">
        <v>9</v>
      </c>
      <c r="D15" s="11">
        <v>20</v>
      </c>
      <c r="E15" s="11">
        <v>0.05</v>
      </c>
      <c r="F15" s="11">
        <f t="shared" si="0"/>
        <v>1</v>
      </c>
      <c r="G15" s="11"/>
    </row>
    <row r="16" spans="1:8" x14ac:dyDescent="0.3">
      <c r="A16" s="3" t="s">
        <v>18</v>
      </c>
      <c r="B16" s="3" t="s">
        <v>19</v>
      </c>
      <c r="C16" s="12" t="s">
        <v>20</v>
      </c>
      <c r="D16" s="11">
        <v>2</v>
      </c>
      <c r="E16" s="11">
        <v>14.42</v>
      </c>
      <c r="F16" s="11">
        <f t="shared" si="0"/>
        <v>28.84</v>
      </c>
      <c r="G16" s="11"/>
      <c r="H16" s="11"/>
    </row>
    <row r="17" spans="1:8" x14ac:dyDescent="0.3">
      <c r="A17" s="3" t="s">
        <v>27</v>
      </c>
      <c r="B17" s="3" t="s">
        <v>29</v>
      </c>
      <c r="C17" s="5" t="s">
        <v>28</v>
      </c>
      <c r="D17" s="11">
        <v>8</v>
      </c>
      <c r="E17" s="11">
        <v>0.05</v>
      </c>
      <c r="F17" s="11">
        <f t="shared" si="0"/>
        <v>0.4</v>
      </c>
      <c r="G17" s="11"/>
      <c r="H17" s="11"/>
    </row>
    <row r="18" spans="1:8" s="10" customFormat="1" x14ac:dyDescent="0.3">
      <c r="A18" s="15">
        <v>1.2</v>
      </c>
      <c r="B18" s="13" t="s">
        <v>33</v>
      </c>
      <c r="C18" s="16"/>
      <c r="D18" s="16"/>
      <c r="E18" s="16"/>
      <c r="F18" s="16"/>
      <c r="G18" s="16"/>
      <c r="H18" s="16"/>
    </row>
    <row r="19" spans="1:8" x14ac:dyDescent="0.3">
      <c r="A19" s="3" t="s">
        <v>31</v>
      </c>
      <c r="B19" s="3" t="s">
        <v>30</v>
      </c>
      <c r="C19" s="17" t="s">
        <v>42</v>
      </c>
      <c r="D19" s="11">
        <v>1</v>
      </c>
      <c r="E19" s="11">
        <v>154.99</v>
      </c>
      <c r="F19" s="11">
        <f t="shared" si="0"/>
        <v>154.99</v>
      </c>
      <c r="G19" s="18" t="s">
        <v>32</v>
      </c>
      <c r="H19" s="11"/>
    </row>
    <row r="20" spans="1:8" x14ac:dyDescent="0.3">
      <c r="A20" s="3" t="s">
        <v>47</v>
      </c>
      <c r="B20" s="3" t="s">
        <v>63</v>
      </c>
      <c r="C20" s="19" t="s">
        <v>46</v>
      </c>
      <c r="E20" s="11"/>
      <c r="F20" s="11">
        <f t="shared" si="0"/>
        <v>0</v>
      </c>
      <c r="G20" s="18"/>
      <c r="H20" s="11"/>
    </row>
    <row r="21" spans="1:8" x14ac:dyDescent="0.3">
      <c r="A21" s="3" t="s">
        <v>51</v>
      </c>
      <c r="B21" s="3" t="s">
        <v>50</v>
      </c>
      <c r="C21" s="19" t="s">
        <v>28</v>
      </c>
      <c r="D21" s="11">
        <v>4</v>
      </c>
      <c r="E21" s="11">
        <v>0.1</v>
      </c>
      <c r="F21" s="11">
        <f t="shared" si="0"/>
        <v>0.4</v>
      </c>
      <c r="G21" s="18"/>
      <c r="H21" s="11"/>
    </row>
    <row r="22" spans="1:8" x14ac:dyDescent="0.3">
      <c r="A22" s="3" t="s">
        <v>64</v>
      </c>
      <c r="B22" s="3" t="s">
        <v>65</v>
      </c>
      <c r="C22" s="19" t="s">
        <v>28</v>
      </c>
      <c r="D22" s="11">
        <v>4</v>
      </c>
      <c r="E22" s="11">
        <v>0.05</v>
      </c>
      <c r="F22" s="11">
        <f t="shared" si="0"/>
        <v>0.2</v>
      </c>
      <c r="G22" s="18"/>
      <c r="H22" s="11"/>
    </row>
    <row r="23" spans="1:8" s="10" customFormat="1" x14ac:dyDescent="0.3">
      <c r="A23" s="15">
        <v>1.3</v>
      </c>
      <c r="B23" s="13" t="s">
        <v>34</v>
      </c>
      <c r="C23" s="16"/>
      <c r="D23" s="16"/>
      <c r="E23" s="16"/>
      <c r="F23" s="16"/>
      <c r="G23" s="16"/>
      <c r="H23" s="16"/>
    </row>
    <row r="24" spans="1:8" x14ac:dyDescent="0.3">
      <c r="A24" s="3" t="s">
        <v>35</v>
      </c>
      <c r="B24" s="3" t="s">
        <v>36</v>
      </c>
      <c r="C24" s="18" t="s">
        <v>43</v>
      </c>
      <c r="D24" s="11">
        <v>1</v>
      </c>
      <c r="E24" s="11">
        <v>4.1100000000000003</v>
      </c>
      <c r="F24" s="11">
        <f t="shared" si="0"/>
        <v>4.1100000000000003</v>
      </c>
      <c r="G24" s="11" t="s">
        <v>37</v>
      </c>
      <c r="H24" s="11">
        <v>25.7</v>
      </c>
    </row>
    <row r="25" spans="1:8" x14ac:dyDescent="0.3">
      <c r="A25" s="14" t="s">
        <v>38</v>
      </c>
      <c r="B25" s="3" t="s">
        <v>39</v>
      </c>
      <c r="C25" s="11" t="s">
        <v>41</v>
      </c>
      <c r="D25" s="11">
        <v>4</v>
      </c>
      <c r="E25" s="11">
        <v>1.04</v>
      </c>
      <c r="F25" s="11">
        <f t="shared" si="0"/>
        <v>4.16</v>
      </c>
      <c r="G25" s="18" t="s">
        <v>40</v>
      </c>
      <c r="H25" s="11">
        <v>15.95</v>
      </c>
    </row>
    <row r="26" spans="1:8" x14ac:dyDescent="0.3">
      <c r="A26" s="3" t="s">
        <v>52</v>
      </c>
      <c r="B26" s="5" t="s">
        <v>45</v>
      </c>
      <c r="C26" s="18" t="s">
        <v>44</v>
      </c>
      <c r="D26" s="11">
        <v>4</v>
      </c>
      <c r="E26" s="11">
        <v>0.68</v>
      </c>
      <c r="F26" s="11">
        <f t="shared" si="0"/>
        <v>2.72</v>
      </c>
      <c r="G26" s="11"/>
      <c r="H26" s="11"/>
    </row>
    <row r="27" spans="1:8" x14ac:dyDescent="0.3">
      <c r="A27" s="14" t="s">
        <v>53</v>
      </c>
      <c r="B27" s="20" t="s">
        <v>48</v>
      </c>
      <c r="C27" s="5" t="s">
        <v>46</v>
      </c>
      <c r="D27" s="11">
        <v>1</v>
      </c>
      <c r="E27" s="11"/>
      <c r="F27" s="11">
        <f t="shared" si="0"/>
        <v>0</v>
      </c>
      <c r="G27" s="11"/>
      <c r="H27" s="11"/>
    </row>
    <row r="28" spans="1:8" x14ac:dyDescent="0.3">
      <c r="A28" s="3" t="s">
        <v>54</v>
      </c>
      <c r="B28" s="20" t="s">
        <v>49</v>
      </c>
      <c r="C28" s="5" t="s">
        <v>46</v>
      </c>
      <c r="D28" s="11">
        <v>4</v>
      </c>
      <c r="E28" s="11"/>
      <c r="F28" s="11">
        <f t="shared" si="0"/>
        <v>0</v>
      </c>
      <c r="G28" s="11"/>
    </row>
    <row r="29" spans="1:8" x14ac:dyDescent="0.3">
      <c r="A29" s="14" t="s">
        <v>55</v>
      </c>
      <c r="B29" s="3" t="s">
        <v>50</v>
      </c>
      <c r="C29" s="19" t="s">
        <v>28</v>
      </c>
      <c r="D29" s="11">
        <v>20</v>
      </c>
      <c r="E29" s="11">
        <v>1</v>
      </c>
      <c r="F29" s="11">
        <f t="shared" si="0"/>
        <v>20</v>
      </c>
      <c r="G29" s="11"/>
    </row>
    <row r="30" spans="1:8" x14ac:dyDescent="0.3">
      <c r="A30" s="3" t="s">
        <v>66</v>
      </c>
      <c r="B30" s="3" t="s">
        <v>65</v>
      </c>
      <c r="C30" s="19" t="s">
        <v>28</v>
      </c>
      <c r="D30" s="11">
        <v>20</v>
      </c>
      <c r="E30" s="11">
        <v>0.05</v>
      </c>
      <c r="F30" s="11">
        <f t="shared" ref="F30" si="1">D30*E30</f>
        <v>1</v>
      </c>
      <c r="G30" s="18"/>
      <c r="H30" s="11"/>
    </row>
    <row r="31" spans="1:8" x14ac:dyDescent="0.3">
      <c r="A31" s="11"/>
      <c r="B31" s="11"/>
      <c r="C31" s="11"/>
      <c r="E31" s="5"/>
      <c r="F31" s="11"/>
      <c r="G31" s="11"/>
    </row>
    <row r="32" spans="1:8" x14ac:dyDescent="0.3">
      <c r="A32" s="11"/>
      <c r="B32" s="11"/>
      <c r="C32" s="11"/>
      <c r="E32" s="11"/>
      <c r="F32" s="11"/>
      <c r="G32" s="11"/>
    </row>
    <row r="33" spans="1:7" x14ac:dyDescent="0.3">
      <c r="A33" s="11"/>
      <c r="B33" s="11"/>
      <c r="C33" s="11"/>
      <c r="E33" s="11"/>
      <c r="F33" s="11"/>
      <c r="G33" s="11"/>
    </row>
    <row r="34" spans="1:7" x14ac:dyDescent="0.3">
      <c r="A34" s="11"/>
      <c r="B34" s="11"/>
      <c r="C34" s="11"/>
      <c r="E34" s="11"/>
      <c r="F34" s="11"/>
      <c r="G34" s="11"/>
    </row>
  </sheetData>
  <phoneticPr fontId="6" type="noConversion"/>
  <hyperlinks>
    <hyperlink ref="C10" r:id="rId1" xr:uid="{6955E2EF-5F2D-41CC-AAD2-BA86A7EE633C}"/>
    <hyperlink ref="C11" r:id="rId2" xr:uid="{62499FD5-E7D8-48AB-905E-C0A46FFC5239}"/>
    <hyperlink ref="C13" r:id="rId3" xr:uid="{5948041D-EAA6-46D5-825C-B0A1139AFDBB}"/>
    <hyperlink ref="C19" r:id="rId4" xr:uid="{2114B3B5-714D-48A9-9D32-A3C3D471C626}"/>
    <hyperlink ref="G25" r:id="rId5" xr:uid="{0360B30E-4C9F-4A60-B789-7E26E815B972}"/>
    <hyperlink ref="G19" r:id="rId6" xr:uid="{FDC35DFA-D4A4-404D-A2DE-BACCB7156EFB}"/>
    <hyperlink ref="C24" r:id="rId7" xr:uid="{7DA27A0D-3E9A-42CC-977B-EDEE105493C4}"/>
    <hyperlink ref="C26" r:id="rId8" xr:uid="{FD486D91-4E8B-4B55-B299-D422CAD29BB5}"/>
    <hyperlink ref="C8" r:id="rId9" xr:uid="{B6005988-02B8-4086-B0F7-EE084FB883F3}"/>
    <hyperlink ref="C9" r:id="rId10" xr:uid="{9AC44B85-0739-4E65-AA32-3762BC55209C}"/>
    <hyperlink ref="C16" r:id="rId11" xr:uid="{3ABC5353-50F1-4DAF-8F7D-2B7D0F3CAA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C</dc:creator>
  <cp:lastModifiedBy>J C</cp:lastModifiedBy>
  <dcterms:created xsi:type="dcterms:W3CDTF">2026-05-02T22:29:59Z</dcterms:created>
  <dcterms:modified xsi:type="dcterms:W3CDTF">2026-05-05T01:48:07Z</dcterms:modified>
</cp:coreProperties>
</file>