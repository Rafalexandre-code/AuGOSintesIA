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38585544-A72D-4C05-9D5B-A48F05BB8BFE}" xr6:coauthVersionLast="47" xr6:coauthVersionMax="47" xr10:uidLastSave="{00000000-0000-0000-0000-000000000000}"/>
  <bookViews>
    <workbookView xWindow="-108" yWindow="-108" windowWidth="24792" windowHeight="14856" activeTab="1" xr2:uid="{00000000-000D-0000-FFFF-FFFF00000000}"/>
  </bookViews>
  <sheets>
    <sheet name="By component" sheetId="1" r:id="rId1"/>
    <sheet name="By part" sheetId="4" r:id="rId2"/>
  </sheets>
  <calcPr calcId="191029"/>
</workbook>
</file>

<file path=xl/calcChain.xml><?xml version="1.0" encoding="utf-8"?>
<calcChain xmlns="http://schemas.openxmlformats.org/spreadsheetml/2006/main">
  <c r="G8" i="4" l="1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7" i="4"/>
  <c r="G85" i="4" l="1"/>
</calcChain>
</file>

<file path=xl/sharedStrings.xml><?xml version="1.0" encoding="utf-8"?>
<sst xmlns="http://schemas.openxmlformats.org/spreadsheetml/2006/main" count="654" uniqueCount="223">
  <si>
    <t>Part Name</t>
  </si>
  <si>
    <t>Working BOM</t>
  </si>
  <si>
    <t>Exported by</t>
  </si>
  <si>
    <t>Time of Export</t>
  </si>
  <si>
    <t/>
  </si>
  <si>
    <t>Level</t>
  </si>
  <si>
    <t>Quantity</t>
  </si>
  <si>
    <t>Material Name</t>
  </si>
  <si>
    <t>1.2</t>
  </si>
  <si>
    <t>Utility frame</t>
  </si>
  <si>
    <t>1.2.1</t>
  </si>
  <si>
    <t>Utility top R horizontal</t>
  </si>
  <si>
    <t>1.2.2</t>
  </si>
  <si>
    <t>Utility L rear vertical</t>
  </si>
  <si>
    <t>1.2.3</t>
  </si>
  <si>
    <t>Utility L fore vertical</t>
  </si>
  <si>
    <t>1.2.4</t>
  </si>
  <si>
    <t>Utility top fore horizontal</t>
  </si>
  <si>
    <t>1.2.5</t>
  </si>
  <si>
    <t>Utility R rear vertical</t>
  </si>
  <si>
    <t>1.2.6</t>
  </si>
  <si>
    <t>Utility top L horizontal</t>
  </si>
  <si>
    <t>1.2.7</t>
  </si>
  <si>
    <t>Utility R fore vertical</t>
  </si>
  <si>
    <t>1.2.8</t>
  </si>
  <si>
    <t>1.2.9</t>
  </si>
  <si>
    <t>1.2.10</t>
  </si>
  <si>
    <t>1.2.11</t>
  </si>
  <si>
    <t>1.2.12</t>
  </si>
  <si>
    <t>Utility top rear horizontal</t>
  </si>
  <si>
    <t>1.3</t>
  </si>
  <si>
    <t>Crossbar</t>
  </si>
  <si>
    <t>1.3.1</t>
  </si>
  <si>
    <t>HEX CSK M3x06</t>
  </si>
  <si>
    <t>1.3.2</t>
  </si>
  <si>
    <t>X crossbar</t>
  </si>
  <si>
    <t>1.3.3</t>
  </si>
  <si>
    <t>BUTTON M2.5x14</t>
  </si>
  <si>
    <t>1.3.4</t>
  </si>
  <si>
    <t>1.3.5</t>
  </si>
  <si>
    <t>DROP IN T-NUT 2020 M5</t>
  </si>
  <si>
    <t>1.3.6</t>
  </si>
  <si>
    <t>BUTTON M2x08</t>
  </si>
  <si>
    <t>1.3.7</t>
  </si>
  <si>
    <t>1.3.8</t>
  </si>
  <si>
    <t>1.3.9</t>
  </si>
  <si>
    <t>HEX CSK M5X10</t>
  </si>
  <si>
    <t>1.3.10</t>
  </si>
  <si>
    <t>SOCKET M3x06</t>
  </si>
  <si>
    <t>1.3.11</t>
  </si>
  <si>
    <t>BUTTON M5x08</t>
  </si>
  <si>
    <t>1.3.12</t>
  </si>
  <si>
    <t>1.3.13</t>
  </si>
  <si>
    <t>1.3.14</t>
  </si>
  <si>
    <t>1.3.15</t>
  </si>
  <si>
    <t>1.3.16</t>
  </si>
  <si>
    <t>1.3.17</t>
  </si>
  <si>
    <t>1.3.18</t>
  </si>
  <si>
    <t>Y cable chain mount</t>
  </si>
  <si>
    <t>1.3.19</t>
  </si>
  <si>
    <t>Z cable chain mount</t>
  </si>
  <si>
    <t>1.3.20</t>
  </si>
  <si>
    <t>1.3.21</t>
  </si>
  <si>
    <t>X-axis</t>
  </si>
  <si>
    <t>X-axis adapter</t>
  </si>
  <si>
    <t>HEX CSK M4x10</t>
  </si>
  <si>
    <t>1.4</t>
  </si>
  <si>
    <t>Left gantry</t>
  </si>
  <si>
    <t>1.4.1</t>
  </si>
  <si>
    <t>1.4.2</t>
  </si>
  <si>
    <t>L fore vertical</t>
  </si>
  <si>
    <t>1.4.3</t>
  </si>
  <si>
    <t>Cable chain support</t>
  </si>
  <si>
    <t>Aluminum</t>
  </si>
  <si>
    <t>1.4.4</t>
  </si>
  <si>
    <t>1.4.5</t>
  </si>
  <si>
    <t>1.4.6</t>
  </si>
  <si>
    <t>BUTTON M3x08</t>
  </si>
  <si>
    <t>1.4.7</t>
  </si>
  <si>
    <t>1.4.8</t>
  </si>
  <si>
    <t>Y-axis L</t>
  </si>
  <si>
    <t>1.4.9</t>
  </si>
  <si>
    <t>Axis-2040 adapter</t>
  </si>
  <si>
    <t>1.4.10</t>
  </si>
  <si>
    <t>1.4.11</t>
  </si>
  <si>
    <t>1.4.12</t>
  </si>
  <si>
    <t>1.4.13</t>
  </si>
  <si>
    <t>1.4.14</t>
  </si>
  <si>
    <t>1.4.15</t>
  </si>
  <si>
    <t>Axis-2020 adapter</t>
  </si>
  <si>
    <t>1.4.16</t>
  </si>
  <si>
    <t>Cable chain support bracket</t>
  </si>
  <si>
    <t>L rear vertical</t>
  </si>
  <si>
    <t>1.5</t>
  </si>
  <si>
    <t>Right gantry</t>
  </si>
  <si>
    <t>1.5.1</t>
  </si>
  <si>
    <t>1.5.2</t>
  </si>
  <si>
    <t>1.5.3</t>
  </si>
  <si>
    <t>1.5.4</t>
  </si>
  <si>
    <t>R fore vertical</t>
  </si>
  <si>
    <t>1.5.5</t>
  </si>
  <si>
    <t>1.5.6</t>
  </si>
  <si>
    <t>Y-axis R</t>
  </si>
  <si>
    <t>1.5.7</t>
  </si>
  <si>
    <t>1.5.8</t>
  </si>
  <si>
    <t>1.5.9</t>
  </si>
  <si>
    <t>1.6</t>
  </si>
  <si>
    <t>Z axis</t>
  </si>
  <si>
    <t>1.6.1</t>
  </si>
  <si>
    <t>1.6.2</t>
  </si>
  <si>
    <t>HEX CSK M3x10</t>
  </si>
  <si>
    <t>1.6.3</t>
  </si>
  <si>
    <t>1.6.4</t>
  </si>
  <si>
    <t>1.6.5</t>
  </si>
  <si>
    <t>1.6.6</t>
  </si>
  <si>
    <t>1.6.7</t>
  </si>
  <si>
    <t>SOCKET M3x12</t>
  </si>
  <si>
    <t>1.6.8</t>
  </si>
  <si>
    <t>Z-axis mount</t>
  </si>
  <si>
    <t>1.6.10</t>
  </si>
  <si>
    <t>1.6.11</t>
  </si>
  <si>
    <t>1.6.12</t>
  </si>
  <si>
    <t>Z endstop mount</t>
  </si>
  <si>
    <t>1.6.13</t>
  </si>
  <si>
    <t>1.6.14</t>
  </si>
  <si>
    <t>Z axis platform</t>
  </si>
  <si>
    <t>1.6.15</t>
  </si>
  <si>
    <t>DOME NUT M3</t>
  </si>
  <si>
    <t>1.6.16</t>
  </si>
  <si>
    <t>1.6.17</t>
  </si>
  <si>
    <t>Z axis casing</t>
  </si>
  <si>
    <t>Z axis adapter</t>
  </si>
  <si>
    <t>HEX CSK M3X14</t>
  </si>
  <si>
    <t>1.7</t>
  </si>
  <si>
    <t>Electronic casing</t>
  </si>
  <si>
    <t>1.7.1</t>
  </si>
  <si>
    <t>1.7.2</t>
  </si>
  <si>
    <t>1.7.3</t>
  </si>
  <si>
    <t>1.7.4</t>
  </si>
  <si>
    <t>1.7.5</t>
  </si>
  <si>
    <t>DROP IN T-NUT 2020 M4</t>
  </si>
  <si>
    <t>1.7.6</t>
  </si>
  <si>
    <t>HEX CSK M4x08</t>
  </si>
  <si>
    <t>1.7.7</t>
  </si>
  <si>
    <t>1.7.8</t>
  </si>
  <si>
    <t>BUTTON M3x12</t>
  </si>
  <si>
    <t>1.7.9</t>
  </si>
  <si>
    <t>50mm DC fan</t>
  </si>
  <si>
    <t>1.7.10</t>
  </si>
  <si>
    <t>1.7.11</t>
  </si>
  <si>
    <t>HEX CSK M4x14</t>
  </si>
  <si>
    <t>1.7.12</t>
  </si>
  <si>
    <t>BUTTON M2.5x06</t>
  </si>
  <si>
    <t>1.7.13</t>
  </si>
  <si>
    <t>Panel mount USB</t>
  </si>
  <si>
    <t>1.8</t>
  </si>
  <si>
    <t>Base</t>
  </si>
  <si>
    <t>1.8.1</t>
  </si>
  <si>
    <t>HEX CSK M6x10</t>
  </si>
  <si>
    <t>1.8.2</t>
  </si>
  <si>
    <t>BUTTON M6x10</t>
  </si>
  <si>
    <t>1.8.3</t>
  </si>
  <si>
    <t>Cable track</t>
  </si>
  <si>
    <t>X endstop mount</t>
  </si>
  <si>
    <t>X endstop</t>
  </si>
  <si>
    <t>Y endstop trigger</t>
  </si>
  <si>
    <t>Y endstop mount</t>
  </si>
  <si>
    <t>Y endstop</t>
  </si>
  <si>
    <t>Z-axis</t>
  </si>
  <si>
    <t>Z endstop</t>
  </si>
  <si>
    <t>Electronic casing front</t>
  </si>
  <si>
    <t>Electronic casing back</t>
  </si>
  <si>
    <t>Electronic casing base</t>
  </si>
  <si>
    <t>PETG</t>
  </si>
  <si>
    <t>Brass</t>
  </si>
  <si>
    <t>Y gantry L</t>
  </si>
  <si>
    <t>Y gantry R</t>
  </si>
  <si>
    <t>Source</t>
  </si>
  <si>
    <t>Custom</t>
  </si>
  <si>
    <t>https://www.aliexpress.com/item/1005009201560186.html</t>
  </si>
  <si>
    <t>https://www.aliexpress.com/item/1005005029247259.html</t>
  </si>
  <si>
    <t xml:space="preserve">https://www.aliexpress.com/item/1005005029247259.html </t>
  </si>
  <si>
    <t xml:space="preserve">https://www.aliexpress.com/item/1005007552935681.html </t>
  </si>
  <si>
    <t xml:space="preserve">https://sg.element14.com/tuk/kcuaa2bkpm/keystone-coupler-usb-2-0-a-rcpt/dp/2534570 </t>
  </si>
  <si>
    <t>2020 Aluminum extrusion</t>
  </si>
  <si>
    <t>2040 Aluminum extrusion</t>
  </si>
  <si>
    <t>Fastener</t>
  </si>
  <si>
    <t>https://www.aliexpress.com/item/1005005041926280.html</t>
  </si>
  <si>
    <t>L fore casing</t>
  </si>
  <si>
    <t>R fore casing</t>
  </si>
  <si>
    <t>R rear vertical</t>
  </si>
  <si>
    <t>1.4.17</t>
  </si>
  <si>
    <t>1.4.18</t>
  </si>
  <si>
    <t>1.4.19</t>
  </si>
  <si>
    <t>1.5.10</t>
  </si>
  <si>
    <t>1.5.11</t>
  </si>
  <si>
    <t>1.5.12</t>
  </si>
  <si>
    <t>S/N</t>
  </si>
  <si>
    <t>DROP IN T-NUT 2020 M3</t>
  </si>
  <si>
    <t>1.4.20</t>
  </si>
  <si>
    <t>Stainless steel</t>
  </si>
  <si>
    <t>SOCKET M5x10</t>
  </si>
  <si>
    <t>1.2.13</t>
  </si>
  <si>
    <t>1.2.14</t>
  </si>
  <si>
    <t>Mounting pad</t>
  </si>
  <si>
    <t>1.1.1</t>
  </si>
  <si>
    <t>Rubber foot M6</t>
  </si>
  <si>
    <t xml:space="preserve">https://www.aliexpress.com/item/1005010414508260.html </t>
  </si>
  <si>
    <t>HEAT INSERT M3XL3XOD4.5</t>
  </si>
  <si>
    <t>HEAT INSERT M2XL3XOD3.2</t>
  </si>
  <si>
    <t>HEAT INSERT M2.5XL3XOD3.5</t>
  </si>
  <si>
    <t>SOCKET M5x20</t>
  </si>
  <si>
    <t>SOCKET M3X25</t>
  </si>
  <si>
    <t>Optical breadboard (300X300mm)</t>
  </si>
  <si>
    <t>1.8.4</t>
  </si>
  <si>
    <t>https://www.aliexpress.com/item/1005007045943440.html</t>
  </si>
  <si>
    <t>DC jack panel mount 5.5x2.1mm</t>
  </si>
  <si>
    <t>https://www.aliexpress.com/item/1005011822891525.html</t>
  </si>
  <si>
    <t>Unit Price</t>
  </si>
  <si>
    <t>Total price</t>
  </si>
  <si>
    <t>Subtotal Price</t>
  </si>
  <si>
    <t>Aluminum (PETG/Acrylic)</t>
  </si>
  <si>
    <t>Aluminum (PETG)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</si>
</sst>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5" fillId="0" borderId="0" xfId="1" applyFont="1"/>
    <xf numFmtId="0" fontId="5" fillId="0" borderId="0" xfId="1" applyFont="1" applyFill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2" fillId="2" borderId="0" xfId="0" applyFont="1" applyFill="1"/>
    <xf numFmtId="0" fontId="6" fillId="0" borderId="0" xfId="0" applyFont="1"/>
    <xf numFmtId="0" fontId="7" fillId="0" borderId="0" xfId="0" applyFont="1"/>
    <xf numFmtId="15" fontId="1" fillId="0" borderId="0" xfId="0" applyNumberFormat="1" applyFont="1"/>
    <xf numFmtId="0" fontId="2" fillId="3" borderId="0" xfId="0" applyFont="1" applyFill="1" applyAlignment="1">
      <alignment horizontal="center"/>
    </xf>
    <xf numFmtId="0" fontId="1" fillId="3" borderId="0" xfId="0" applyFont="1" applyFill="1"/>
    <xf numFmtId="0" fontId="2" fillId="3" borderId="0" xfId="0" applyFont="1" applyFill="1"/>
    <xf numFmtId="0" fontId="1" fillId="3" borderId="0" xfId="0" applyFont="1" applyFill="1" applyAlignment="1">
      <alignment horizontal="center"/>
    </xf>
    <xf numFmtId="0" fontId="6" fillId="3" borderId="0" xfId="0" applyFont="1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g.element14.com/tuk/kcuaa2bkpm/keystone-coupler-usb-2-0-a-rcpt/dp/2534570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aliexpress.com/item/1005005029247259.html" TargetMode="External"/><Relationship Id="rId7" Type="http://schemas.openxmlformats.org/officeDocument/2006/relationships/hyperlink" Target="https://www.aliexpress.com/item/1005007552935681.html" TargetMode="External"/><Relationship Id="rId12" Type="http://schemas.openxmlformats.org/officeDocument/2006/relationships/hyperlink" Target="https://www.aliexpress.com/item/1005011822891525.html" TargetMode="External"/><Relationship Id="rId2" Type="http://schemas.openxmlformats.org/officeDocument/2006/relationships/hyperlink" Target="https://www.aliexpress.com/item/1005009201560186.html" TargetMode="External"/><Relationship Id="rId1" Type="http://schemas.openxmlformats.org/officeDocument/2006/relationships/hyperlink" Target="https://www.aliexpress.com/item/1005009201560186.html" TargetMode="External"/><Relationship Id="rId6" Type="http://schemas.openxmlformats.org/officeDocument/2006/relationships/hyperlink" Target="https://www.aliexpress.com/item/1005005029247259.html" TargetMode="External"/><Relationship Id="rId11" Type="http://schemas.openxmlformats.org/officeDocument/2006/relationships/hyperlink" Target="https://www.aliexpress.com/item/1005007045943440.html" TargetMode="External"/><Relationship Id="rId5" Type="http://schemas.openxmlformats.org/officeDocument/2006/relationships/hyperlink" Target="https://www.aliexpress.com/item/1005005029247259.html" TargetMode="External"/><Relationship Id="rId10" Type="http://schemas.openxmlformats.org/officeDocument/2006/relationships/hyperlink" Target="https://www.aliexpress.com/item/1005010414508260.html" TargetMode="External"/><Relationship Id="rId4" Type="http://schemas.openxmlformats.org/officeDocument/2006/relationships/hyperlink" Target="https://www.aliexpress.com/item/1005005029247259.html" TargetMode="External"/><Relationship Id="rId9" Type="http://schemas.openxmlformats.org/officeDocument/2006/relationships/hyperlink" Target="https://www.aliexpress.com/item/1005005041926280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g.element14.com/tuk/kcuaa2bkpm/keystone-coupler-usb-2-0-a-rcpt/dp/2534570" TargetMode="External"/><Relationship Id="rId13" Type="http://schemas.openxmlformats.org/officeDocument/2006/relationships/hyperlink" Target="https://www.aliexpress.com/item/1005009201560186.html" TargetMode="External"/><Relationship Id="rId3" Type="http://schemas.openxmlformats.org/officeDocument/2006/relationships/hyperlink" Target="https://www.aliexpress.com/item/1005005029247259.html" TargetMode="External"/><Relationship Id="rId7" Type="http://schemas.openxmlformats.org/officeDocument/2006/relationships/hyperlink" Target="https://www.aliexpress.com/item/1005007552935681.html" TargetMode="External"/><Relationship Id="rId12" Type="http://schemas.openxmlformats.org/officeDocument/2006/relationships/hyperlink" Target="https://www.aliexpress.com/item/1005011822891525.html" TargetMode="External"/><Relationship Id="rId2" Type="http://schemas.openxmlformats.org/officeDocument/2006/relationships/hyperlink" Target="https://www.aliexpress.com/item/1005009201560186.html" TargetMode="External"/><Relationship Id="rId1" Type="http://schemas.openxmlformats.org/officeDocument/2006/relationships/hyperlink" Target="https://www.aliexpress.com/item/1005009201560186.html" TargetMode="External"/><Relationship Id="rId6" Type="http://schemas.openxmlformats.org/officeDocument/2006/relationships/hyperlink" Target="https://www.aliexpress.com/item/1005005029247259.html" TargetMode="External"/><Relationship Id="rId11" Type="http://schemas.openxmlformats.org/officeDocument/2006/relationships/hyperlink" Target="https://www.aliexpress.com/item/1005007045943440.html" TargetMode="External"/><Relationship Id="rId5" Type="http://schemas.openxmlformats.org/officeDocument/2006/relationships/hyperlink" Target="https://www.aliexpress.com/item/1005005029247259.html" TargetMode="External"/><Relationship Id="rId10" Type="http://schemas.openxmlformats.org/officeDocument/2006/relationships/hyperlink" Target="https://www.aliexpress.com/item/1005010414508260.html" TargetMode="External"/><Relationship Id="rId4" Type="http://schemas.openxmlformats.org/officeDocument/2006/relationships/hyperlink" Target="https://www.aliexpress.com/item/1005005029247259.html" TargetMode="External"/><Relationship Id="rId9" Type="http://schemas.openxmlformats.org/officeDocument/2006/relationships/hyperlink" Target="https://www.aliexpress.com/item/100500504192628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5"/>
  <sheetViews>
    <sheetView workbookViewId="0">
      <selection activeCell="B4" sqref="B4"/>
    </sheetView>
  </sheetViews>
  <sheetFormatPr defaultRowHeight="15.6" x14ac:dyDescent="0.3"/>
  <cols>
    <col min="1" max="1" width="20.88671875" style="1" customWidth="1"/>
    <col min="2" max="2" width="38.44140625" style="1" customWidth="1"/>
    <col min="3" max="3" width="86.5546875" style="1" bestFit="1" customWidth="1"/>
    <col min="4" max="4" width="13.6640625" style="7" customWidth="1"/>
    <col min="5" max="5" width="32" style="1" customWidth="1"/>
  </cols>
  <sheetData>
    <row r="1" spans="1:5" x14ac:dyDescent="0.3">
      <c r="A1" s="1" t="s">
        <v>0</v>
      </c>
    </row>
    <row r="2" spans="1:5" x14ac:dyDescent="0.3">
      <c r="A2" s="1" t="s">
        <v>1</v>
      </c>
    </row>
    <row r="3" spans="1:5" x14ac:dyDescent="0.3">
      <c r="A3" s="1" t="s">
        <v>2</v>
      </c>
    </row>
    <row r="4" spans="1:5" x14ac:dyDescent="0.3">
      <c r="A4" s="1" t="s">
        <v>3</v>
      </c>
      <c r="B4" s="15">
        <v>46146</v>
      </c>
    </row>
    <row r="5" spans="1:5" x14ac:dyDescent="0.3">
      <c r="A5" s="1" t="s">
        <v>4</v>
      </c>
    </row>
    <row r="6" spans="1:5" x14ac:dyDescent="0.3">
      <c r="A6" s="1" t="s">
        <v>5</v>
      </c>
      <c r="B6" s="1" t="s">
        <v>0</v>
      </c>
      <c r="C6" s="2" t="s">
        <v>177</v>
      </c>
      <c r="D6" s="9" t="s">
        <v>6</v>
      </c>
      <c r="E6" s="1" t="s">
        <v>7</v>
      </c>
    </row>
    <row r="7" spans="1:5" s="4" customFormat="1" x14ac:dyDescent="0.3">
      <c r="A7" s="11">
        <v>1.1000000000000001</v>
      </c>
      <c r="B7" s="3" t="s">
        <v>204</v>
      </c>
      <c r="C7" s="12"/>
      <c r="D7" s="11"/>
      <c r="E7" s="3"/>
    </row>
    <row r="8" spans="1:5" x14ac:dyDescent="0.3">
      <c r="A8" s="9" t="s">
        <v>205</v>
      </c>
      <c r="B8" s="1" t="s">
        <v>206</v>
      </c>
      <c r="C8" s="6" t="s">
        <v>207</v>
      </c>
      <c r="D8" s="7">
        <v>3</v>
      </c>
    </row>
    <row r="9" spans="1:5" s="4" customFormat="1" x14ac:dyDescent="0.3">
      <c r="A9" s="3" t="s">
        <v>8</v>
      </c>
      <c r="B9" s="3" t="s">
        <v>9</v>
      </c>
      <c r="C9" s="3"/>
      <c r="D9" s="8"/>
      <c r="E9" s="3"/>
    </row>
    <row r="10" spans="1:5" x14ac:dyDescent="0.3">
      <c r="A10" s="2" t="s">
        <v>10</v>
      </c>
      <c r="B10" s="1" t="s">
        <v>40</v>
      </c>
      <c r="C10" s="2" t="s">
        <v>186</v>
      </c>
      <c r="D10" s="7">
        <v>4</v>
      </c>
      <c r="E10" s="2" t="s">
        <v>200</v>
      </c>
    </row>
    <row r="11" spans="1:5" x14ac:dyDescent="0.3">
      <c r="A11" s="1" t="s">
        <v>12</v>
      </c>
      <c r="B11" s="1" t="s">
        <v>201</v>
      </c>
      <c r="C11" s="2" t="s">
        <v>186</v>
      </c>
      <c r="D11" s="7">
        <v>4</v>
      </c>
      <c r="E11" s="2" t="s">
        <v>200</v>
      </c>
    </row>
    <row r="12" spans="1:5" x14ac:dyDescent="0.3">
      <c r="A12" s="2" t="s">
        <v>14</v>
      </c>
      <c r="B12" s="1" t="s">
        <v>15</v>
      </c>
      <c r="C12" s="2" t="s">
        <v>178</v>
      </c>
      <c r="D12" s="7">
        <v>1</v>
      </c>
      <c r="E12" s="2" t="s">
        <v>184</v>
      </c>
    </row>
    <row r="13" spans="1:5" x14ac:dyDescent="0.3">
      <c r="A13" s="1" t="s">
        <v>16</v>
      </c>
      <c r="B13" s="1" t="s">
        <v>13</v>
      </c>
      <c r="C13" s="2" t="s">
        <v>178</v>
      </c>
      <c r="D13" s="7">
        <v>1</v>
      </c>
      <c r="E13" s="2" t="s">
        <v>184</v>
      </c>
    </row>
    <row r="14" spans="1:5" x14ac:dyDescent="0.3">
      <c r="A14" s="2" t="s">
        <v>18</v>
      </c>
      <c r="B14" s="1" t="s">
        <v>23</v>
      </c>
      <c r="C14" s="2" t="s">
        <v>178</v>
      </c>
      <c r="D14" s="7">
        <v>1</v>
      </c>
      <c r="E14" s="2" t="s">
        <v>184</v>
      </c>
    </row>
    <row r="15" spans="1:5" x14ac:dyDescent="0.3">
      <c r="A15" s="1" t="s">
        <v>20</v>
      </c>
      <c r="B15" s="1" t="s">
        <v>19</v>
      </c>
      <c r="C15" s="2" t="s">
        <v>178</v>
      </c>
      <c r="D15" s="7">
        <v>1</v>
      </c>
      <c r="E15" s="2" t="s">
        <v>184</v>
      </c>
    </row>
    <row r="16" spans="1:5" x14ac:dyDescent="0.3">
      <c r="A16" s="2" t="s">
        <v>22</v>
      </c>
      <c r="B16" s="1" t="s">
        <v>17</v>
      </c>
      <c r="C16" s="2" t="s">
        <v>178</v>
      </c>
      <c r="D16" s="7">
        <v>1</v>
      </c>
      <c r="E16" s="2" t="s">
        <v>184</v>
      </c>
    </row>
    <row r="17" spans="1:5" x14ac:dyDescent="0.3">
      <c r="A17" s="1" t="s">
        <v>24</v>
      </c>
      <c r="B17" s="2" t="s">
        <v>17</v>
      </c>
      <c r="C17" s="2" t="s">
        <v>178</v>
      </c>
      <c r="D17" s="7">
        <v>1</v>
      </c>
      <c r="E17" s="2" t="s">
        <v>184</v>
      </c>
    </row>
    <row r="18" spans="1:5" x14ac:dyDescent="0.3">
      <c r="A18" s="2" t="s">
        <v>25</v>
      </c>
      <c r="B18" s="1" t="s">
        <v>21</v>
      </c>
      <c r="C18" s="2" t="s">
        <v>178</v>
      </c>
      <c r="D18" s="7">
        <v>1</v>
      </c>
      <c r="E18" s="2" t="s">
        <v>184</v>
      </c>
    </row>
    <row r="19" spans="1:5" x14ac:dyDescent="0.3">
      <c r="A19" s="1" t="s">
        <v>26</v>
      </c>
      <c r="B19" s="2" t="s">
        <v>21</v>
      </c>
      <c r="C19" s="2" t="s">
        <v>178</v>
      </c>
      <c r="D19" s="7">
        <v>1</v>
      </c>
      <c r="E19" s="2" t="s">
        <v>184</v>
      </c>
    </row>
    <row r="20" spans="1:5" x14ac:dyDescent="0.3">
      <c r="A20" s="2" t="s">
        <v>27</v>
      </c>
      <c r="B20" s="2" t="s">
        <v>11</v>
      </c>
      <c r="C20" s="2" t="s">
        <v>178</v>
      </c>
      <c r="D20" s="7">
        <v>1</v>
      </c>
      <c r="E20" s="2" t="s">
        <v>184</v>
      </c>
    </row>
    <row r="21" spans="1:5" x14ac:dyDescent="0.3">
      <c r="A21" s="1" t="s">
        <v>28</v>
      </c>
      <c r="B21" s="1" t="s">
        <v>11</v>
      </c>
      <c r="C21" s="2" t="s">
        <v>178</v>
      </c>
      <c r="D21" s="7">
        <v>1</v>
      </c>
      <c r="E21" s="2" t="s">
        <v>184</v>
      </c>
    </row>
    <row r="22" spans="1:5" x14ac:dyDescent="0.3">
      <c r="A22" s="2" t="s">
        <v>202</v>
      </c>
      <c r="B22" s="2" t="s">
        <v>29</v>
      </c>
      <c r="C22" s="2" t="s">
        <v>178</v>
      </c>
      <c r="D22" s="7">
        <v>1</v>
      </c>
      <c r="E22" s="2" t="s">
        <v>184</v>
      </c>
    </row>
    <row r="23" spans="1:5" x14ac:dyDescent="0.3">
      <c r="A23" s="1" t="s">
        <v>203</v>
      </c>
      <c r="B23" s="1" t="s">
        <v>29</v>
      </c>
      <c r="C23" s="2" t="s">
        <v>178</v>
      </c>
      <c r="D23" s="7">
        <v>1</v>
      </c>
      <c r="E23" s="2" t="s">
        <v>184</v>
      </c>
    </row>
    <row r="24" spans="1:5" s="4" customFormat="1" x14ac:dyDescent="0.3">
      <c r="A24" s="3" t="s">
        <v>30</v>
      </c>
      <c r="B24" s="3" t="s">
        <v>31</v>
      </c>
      <c r="C24" s="3"/>
      <c r="D24" s="8"/>
      <c r="E24" s="3"/>
    </row>
    <row r="25" spans="1:5" x14ac:dyDescent="0.3">
      <c r="A25" s="2" t="s">
        <v>32</v>
      </c>
      <c r="B25" s="1" t="s">
        <v>37</v>
      </c>
      <c r="C25" s="2" t="s">
        <v>186</v>
      </c>
      <c r="D25" s="7">
        <v>2</v>
      </c>
      <c r="E25" s="1" t="s">
        <v>200</v>
      </c>
    </row>
    <row r="26" spans="1:5" x14ac:dyDescent="0.3">
      <c r="A26" s="2" t="s">
        <v>34</v>
      </c>
      <c r="B26" s="1" t="s">
        <v>42</v>
      </c>
      <c r="C26" s="2" t="s">
        <v>186</v>
      </c>
      <c r="D26" s="7">
        <v>2</v>
      </c>
      <c r="E26" s="1" t="s">
        <v>200</v>
      </c>
    </row>
    <row r="27" spans="1:5" x14ac:dyDescent="0.3">
      <c r="A27" s="2" t="s">
        <v>36</v>
      </c>
      <c r="B27" s="1" t="s">
        <v>50</v>
      </c>
      <c r="C27" s="2" t="s">
        <v>186</v>
      </c>
      <c r="D27" s="7">
        <v>6</v>
      </c>
      <c r="E27" s="1" t="s">
        <v>200</v>
      </c>
    </row>
    <row r="28" spans="1:5" x14ac:dyDescent="0.3">
      <c r="A28" s="2" t="s">
        <v>38</v>
      </c>
      <c r="B28" s="1" t="s">
        <v>40</v>
      </c>
      <c r="C28" s="2" t="s">
        <v>186</v>
      </c>
      <c r="D28" s="7">
        <v>8</v>
      </c>
      <c r="E28" s="1" t="s">
        <v>200</v>
      </c>
    </row>
    <row r="29" spans="1:5" x14ac:dyDescent="0.3">
      <c r="A29" s="2" t="s">
        <v>39</v>
      </c>
      <c r="B29" s="2" t="s">
        <v>209</v>
      </c>
      <c r="C29" s="2" t="s">
        <v>186</v>
      </c>
      <c r="D29" s="7">
        <v>2</v>
      </c>
      <c r="E29" s="2" t="s">
        <v>174</v>
      </c>
    </row>
    <row r="30" spans="1:5" x14ac:dyDescent="0.3">
      <c r="A30" s="2" t="s">
        <v>41</v>
      </c>
      <c r="B30" s="2" t="s">
        <v>208</v>
      </c>
      <c r="C30" s="2" t="s">
        <v>186</v>
      </c>
      <c r="D30" s="7">
        <v>4</v>
      </c>
      <c r="E30" s="2" t="s">
        <v>174</v>
      </c>
    </row>
    <row r="31" spans="1:5" x14ac:dyDescent="0.3">
      <c r="A31" s="2" t="s">
        <v>43</v>
      </c>
      <c r="B31" s="1" t="s">
        <v>33</v>
      </c>
      <c r="C31" s="2" t="s">
        <v>186</v>
      </c>
      <c r="D31" s="7">
        <v>2</v>
      </c>
      <c r="E31" s="1" t="s">
        <v>200</v>
      </c>
    </row>
    <row r="32" spans="1:5" x14ac:dyDescent="0.3">
      <c r="A32" s="2" t="s">
        <v>44</v>
      </c>
      <c r="B32" s="1" t="s">
        <v>65</v>
      </c>
      <c r="C32" s="2" t="s">
        <v>186</v>
      </c>
      <c r="D32" s="7">
        <v>2</v>
      </c>
      <c r="E32" s="1" t="s">
        <v>200</v>
      </c>
    </row>
    <row r="33" spans="1:5" x14ac:dyDescent="0.3">
      <c r="A33" s="2" t="s">
        <v>45</v>
      </c>
      <c r="B33" s="1" t="s">
        <v>46</v>
      </c>
      <c r="C33" s="2" t="s">
        <v>186</v>
      </c>
      <c r="D33" s="7">
        <v>4</v>
      </c>
      <c r="E33" s="1" t="s">
        <v>200</v>
      </c>
    </row>
    <row r="34" spans="1:5" x14ac:dyDescent="0.3">
      <c r="A34" s="2" t="s">
        <v>47</v>
      </c>
      <c r="B34" s="1" t="s">
        <v>48</v>
      </c>
      <c r="C34" s="2" t="s">
        <v>186</v>
      </c>
      <c r="D34" s="7">
        <v>4</v>
      </c>
      <c r="E34" s="1" t="s">
        <v>200</v>
      </c>
    </row>
    <row r="35" spans="1:5" x14ac:dyDescent="0.3">
      <c r="A35" s="2" t="s">
        <v>49</v>
      </c>
      <c r="B35" s="1" t="s">
        <v>212</v>
      </c>
      <c r="C35" s="2" t="s">
        <v>186</v>
      </c>
      <c r="D35" s="7">
        <v>8</v>
      </c>
      <c r="E35" s="2" t="s">
        <v>200</v>
      </c>
    </row>
    <row r="36" spans="1:5" x14ac:dyDescent="0.3">
      <c r="A36" s="2" t="s">
        <v>51</v>
      </c>
      <c r="B36" s="1" t="s">
        <v>35</v>
      </c>
      <c r="C36" s="2" t="s">
        <v>178</v>
      </c>
      <c r="D36" s="7">
        <v>1</v>
      </c>
      <c r="E36" s="2" t="s">
        <v>184</v>
      </c>
    </row>
    <row r="37" spans="1:5" x14ac:dyDescent="0.3">
      <c r="A37" s="2" t="s">
        <v>52</v>
      </c>
      <c r="B37" s="2" t="s">
        <v>164</v>
      </c>
      <c r="C37" s="5" t="s">
        <v>179</v>
      </c>
      <c r="D37" s="7">
        <v>1</v>
      </c>
    </row>
    <row r="38" spans="1:5" x14ac:dyDescent="0.3">
      <c r="A38" s="2" t="s">
        <v>53</v>
      </c>
      <c r="B38" s="2" t="s">
        <v>163</v>
      </c>
      <c r="C38" s="2" t="s">
        <v>178</v>
      </c>
      <c r="D38" s="7">
        <v>1</v>
      </c>
      <c r="E38" s="2" t="s">
        <v>173</v>
      </c>
    </row>
    <row r="39" spans="1:5" x14ac:dyDescent="0.3">
      <c r="A39" s="2" t="s">
        <v>54</v>
      </c>
      <c r="B39" s="1" t="s">
        <v>63</v>
      </c>
      <c r="C39" s="6" t="s">
        <v>180</v>
      </c>
      <c r="D39" s="7">
        <v>1</v>
      </c>
    </row>
    <row r="40" spans="1:5" x14ac:dyDescent="0.3">
      <c r="A40" s="2" t="s">
        <v>55</v>
      </c>
      <c r="B40" s="2" t="s">
        <v>64</v>
      </c>
      <c r="C40" s="2" t="s">
        <v>178</v>
      </c>
      <c r="D40" s="7">
        <v>2</v>
      </c>
      <c r="E40" s="2" t="s">
        <v>73</v>
      </c>
    </row>
    <row r="41" spans="1:5" x14ac:dyDescent="0.3">
      <c r="A41" s="2" t="s">
        <v>56</v>
      </c>
      <c r="B41" s="1" t="s">
        <v>58</v>
      </c>
      <c r="C41" s="2" t="s">
        <v>178</v>
      </c>
      <c r="D41" s="7">
        <v>1</v>
      </c>
      <c r="E41" s="2" t="s">
        <v>173</v>
      </c>
    </row>
    <row r="42" spans="1:5" x14ac:dyDescent="0.3">
      <c r="A42" s="2" t="s">
        <v>57</v>
      </c>
      <c r="B42" s="2" t="s">
        <v>165</v>
      </c>
      <c r="C42" s="2" t="s">
        <v>178</v>
      </c>
      <c r="D42" s="7">
        <v>1</v>
      </c>
      <c r="E42" s="2" t="s">
        <v>173</v>
      </c>
    </row>
    <row r="43" spans="1:5" x14ac:dyDescent="0.3">
      <c r="A43" s="2" t="s">
        <v>59</v>
      </c>
      <c r="B43" s="2" t="s">
        <v>175</v>
      </c>
      <c r="C43" s="2" t="s">
        <v>178</v>
      </c>
      <c r="D43" s="7">
        <v>1</v>
      </c>
      <c r="E43" s="2" t="s">
        <v>73</v>
      </c>
    </row>
    <row r="44" spans="1:5" x14ac:dyDescent="0.3">
      <c r="A44" s="2" t="s">
        <v>61</v>
      </c>
      <c r="B44" s="2" t="s">
        <v>176</v>
      </c>
      <c r="C44" s="2" t="s">
        <v>178</v>
      </c>
      <c r="D44" s="7">
        <v>1</v>
      </c>
      <c r="E44" s="2" t="s">
        <v>73</v>
      </c>
    </row>
    <row r="45" spans="1:5" x14ac:dyDescent="0.3">
      <c r="A45" s="2" t="s">
        <v>62</v>
      </c>
      <c r="B45" s="1" t="s">
        <v>60</v>
      </c>
      <c r="C45" s="2" t="s">
        <v>178</v>
      </c>
      <c r="D45" s="7">
        <v>1</v>
      </c>
      <c r="E45" s="2" t="s">
        <v>173</v>
      </c>
    </row>
    <row r="46" spans="1:5" s="4" customFormat="1" x14ac:dyDescent="0.3">
      <c r="A46" s="3" t="s">
        <v>66</v>
      </c>
      <c r="B46" s="3" t="s">
        <v>67</v>
      </c>
      <c r="C46" s="3"/>
      <c r="D46" s="8"/>
      <c r="E46" s="3"/>
    </row>
    <row r="47" spans="1:5" x14ac:dyDescent="0.3">
      <c r="A47" s="2" t="s">
        <v>68</v>
      </c>
      <c r="B47" s="1" t="s">
        <v>89</v>
      </c>
      <c r="C47" s="2" t="s">
        <v>178</v>
      </c>
      <c r="D47" s="7">
        <v>1</v>
      </c>
      <c r="E47" s="2" t="s">
        <v>73</v>
      </c>
    </row>
    <row r="48" spans="1:5" x14ac:dyDescent="0.3">
      <c r="A48" s="2" t="s">
        <v>69</v>
      </c>
      <c r="B48" s="1" t="s">
        <v>82</v>
      </c>
      <c r="C48" s="2" t="s">
        <v>178</v>
      </c>
      <c r="D48" s="7">
        <v>1</v>
      </c>
      <c r="E48" s="2" t="s">
        <v>73</v>
      </c>
    </row>
    <row r="49" spans="1:5" x14ac:dyDescent="0.3">
      <c r="A49" s="2" t="s">
        <v>71</v>
      </c>
      <c r="B49" s="1" t="s">
        <v>42</v>
      </c>
      <c r="C49" s="2" t="s">
        <v>186</v>
      </c>
      <c r="D49" s="7">
        <v>2</v>
      </c>
      <c r="E49" s="1" t="s">
        <v>200</v>
      </c>
    </row>
    <row r="50" spans="1:5" x14ac:dyDescent="0.3">
      <c r="A50" s="2" t="s">
        <v>74</v>
      </c>
      <c r="B50" s="1" t="s">
        <v>77</v>
      </c>
      <c r="C50" s="2" t="s">
        <v>186</v>
      </c>
      <c r="D50" s="7">
        <v>1</v>
      </c>
      <c r="E50" s="1" t="s">
        <v>200</v>
      </c>
    </row>
    <row r="51" spans="1:5" x14ac:dyDescent="0.3">
      <c r="A51" s="2" t="s">
        <v>75</v>
      </c>
      <c r="B51" s="1" t="s">
        <v>50</v>
      </c>
      <c r="C51" s="2" t="s">
        <v>186</v>
      </c>
      <c r="D51" s="7">
        <v>10</v>
      </c>
      <c r="E51" s="1" t="s">
        <v>200</v>
      </c>
    </row>
    <row r="52" spans="1:5" x14ac:dyDescent="0.3">
      <c r="A52" s="2" t="s">
        <v>76</v>
      </c>
      <c r="B52" s="1" t="s">
        <v>72</v>
      </c>
      <c r="C52" s="2" t="s">
        <v>178</v>
      </c>
      <c r="D52" s="7">
        <v>1</v>
      </c>
      <c r="E52" s="2" t="s">
        <v>184</v>
      </c>
    </row>
    <row r="53" spans="1:5" x14ac:dyDescent="0.3">
      <c r="A53" s="2" t="s">
        <v>78</v>
      </c>
      <c r="B53" s="2" t="s">
        <v>91</v>
      </c>
      <c r="C53" s="5" t="s">
        <v>187</v>
      </c>
      <c r="D53" s="7">
        <v>2</v>
      </c>
      <c r="E53" s="2" t="s">
        <v>73</v>
      </c>
    </row>
    <row r="54" spans="1:5" x14ac:dyDescent="0.3">
      <c r="A54" s="2" t="s">
        <v>79</v>
      </c>
      <c r="B54" s="2" t="s">
        <v>198</v>
      </c>
      <c r="C54" s="2" t="s">
        <v>186</v>
      </c>
      <c r="D54" s="7">
        <v>1</v>
      </c>
      <c r="E54" s="1" t="s">
        <v>200</v>
      </c>
    </row>
    <row r="55" spans="1:5" x14ac:dyDescent="0.3">
      <c r="A55" s="2" t="s">
        <v>81</v>
      </c>
      <c r="B55" s="2" t="s">
        <v>140</v>
      </c>
      <c r="C55" s="2" t="s">
        <v>186</v>
      </c>
      <c r="D55" s="7">
        <v>1</v>
      </c>
      <c r="E55" s="1" t="s">
        <v>200</v>
      </c>
    </row>
    <row r="56" spans="1:5" x14ac:dyDescent="0.3">
      <c r="A56" s="2" t="s">
        <v>83</v>
      </c>
      <c r="B56" s="1" t="s">
        <v>40</v>
      </c>
      <c r="C56" s="2" t="s">
        <v>186</v>
      </c>
      <c r="D56" s="7">
        <v>8</v>
      </c>
      <c r="E56" s="1" t="s">
        <v>200</v>
      </c>
    </row>
    <row r="57" spans="1:5" x14ac:dyDescent="0.3">
      <c r="A57" s="2" t="s">
        <v>84</v>
      </c>
      <c r="B57" s="2" t="s">
        <v>209</v>
      </c>
      <c r="C57" s="2" t="s">
        <v>186</v>
      </c>
      <c r="D57" s="7">
        <v>2</v>
      </c>
      <c r="E57" s="2" t="s">
        <v>174</v>
      </c>
    </row>
    <row r="58" spans="1:5" x14ac:dyDescent="0.3">
      <c r="A58" s="2" t="s">
        <v>85</v>
      </c>
      <c r="B58" s="1" t="s">
        <v>142</v>
      </c>
      <c r="C58" s="2" t="s">
        <v>186</v>
      </c>
      <c r="D58" s="7">
        <v>1</v>
      </c>
      <c r="E58" s="1" t="s">
        <v>200</v>
      </c>
    </row>
    <row r="59" spans="1:5" x14ac:dyDescent="0.3">
      <c r="A59" s="2" t="s">
        <v>86</v>
      </c>
      <c r="B59" s="1" t="s">
        <v>188</v>
      </c>
      <c r="C59" s="2" t="s">
        <v>178</v>
      </c>
      <c r="D59" s="7">
        <v>1</v>
      </c>
      <c r="E59" s="2" t="s">
        <v>173</v>
      </c>
    </row>
    <row r="60" spans="1:5" x14ac:dyDescent="0.3">
      <c r="A60" s="2" t="s">
        <v>87</v>
      </c>
      <c r="B60" s="1" t="s">
        <v>70</v>
      </c>
      <c r="C60" s="2" t="s">
        <v>178</v>
      </c>
      <c r="D60" s="7">
        <v>1</v>
      </c>
      <c r="E60" s="2" t="s">
        <v>184</v>
      </c>
    </row>
    <row r="61" spans="1:5" x14ac:dyDescent="0.3">
      <c r="A61" s="2" t="s">
        <v>88</v>
      </c>
      <c r="B61" s="1" t="s">
        <v>92</v>
      </c>
      <c r="C61" s="2" t="s">
        <v>178</v>
      </c>
      <c r="D61" s="7">
        <v>1</v>
      </c>
      <c r="E61" s="2" t="s">
        <v>185</v>
      </c>
    </row>
    <row r="62" spans="1:5" x14ac:dyDescent="0.3">
      <c r="A62" s="2" t="s">
        <v>90</v>
      </c>
      <c r="B62" s="1" t="s">
        <v>48</v>
      </c>
      <c r="C62" s="2" t="s">
        <v>186</v>
      </c>
      <c r="D62" s="7">
        <v>4</v>
      </c>
      <c r="E62" s="1" t="s">
        <v>200</v>
      </c>
    </row>
    <row r="63" spans="1:5" x14ac:dyDescent="0.3">
      <c r="A63" s="2" t="s">
        <v>191</v>
      </c>
      <c r="B63" s="1" t="s">
        <v>211</v>
      </c>
      <c r="C63" s="2" t="s">
        <v>186</v>
      </c>
      <c r="D63" s="7">
        <v>3</v>
      </c>
      <c r="E63" s="2" t="s">
        <v>200</v>
      </c>
    </row>
    <row r="64" spans="1:5" x14ac:dyDescent="0.3">
      <c r="A64" s="2" t="s">
        <v>192</v>
      </c>
      <c r="B64" s="2" t="s">
        <v>167</v>
      </c>
      <c r="C64" s="5" t="s">
        <v>179</v>
      </c>
      <c r="D64" s="7">
        <v>1</v>
      </c>
    </row>
    <row r="65" spans="1:5" x14ac:dyDescent="0.3">
      <c r="A65" s="2" t="s">
        <v>193</v>
      </c>
      <c r="B65" s="2" t="s">
        <v>166</v>
      </c>
      <c r="C65" s="2" t="s">
        <v>178</v>
      </c>
      <c r="D65" s="7">
        <v>1</v>
      </c>
      <c r="E65" s="2" t="s">
        <v>173</v>
      </c>
    </row>
    <row r="66" spans="1:5" x14ac:dyDescent="0.3">
      <c r="A66" s="2" t="s">
        <v>199</v>
      </c>
      <c r="B66" s="1" t="s">
        <v>80</v>
      </c>
      <c r="C66" s="5" t="s">
        <v>181</v>
      </c>
      <c r="D66" s="7">
        <v>1</v>
      </c>
      <c r="E66" s="2"/>
    </row>
    <row r="67" spans="1:5" s="4" customFormat="1" x14ac:dyDescent="0.3">
      <c r="A67" s="3" t="s">
        <v>93</v>
      </c>
      <c r="B67" s="3" t="s">
        <v>94</v>
      </c>
      <c r="C67" s="3"/>
      <c r="D67" s="8"/>
      <c r="E67" s="3"/>
    </row>
    <row r="68" spans="1:5" x14ac:dyDescent="0.3">
      <c r="A68" s="2" t="s">
        <v>95</v>
      </c>
      <c r="B68" s="2" t="s">
        <v>89</v>
      </c>
      <c r="C68" s="2" t="s">
        <v>178</v>
      </c>
      <c r="D68" s="7">
        <v>1</v>
      </c>
      <c r="E68" s="2" t="s">
        <v>73</v>
      </c>
    </row>
    <row r="69" spans="1:5" x14ac:dyDescent="0.3">
      <c r="A69" s="2" t="s">
        <v>96</v>
      </c>
      <c r="B69" s="2" t="s">
        <v>82</v>
      </c>
      <c r="C69" s="2" t="s">
        <v>178</v>
      </c>
      <c r="D69" s="7">
        <v>1</v>
      </c>
      <c r="E69" s="2" t="s">
        <v>73</v>
      </c>
    </row>
    <row r="70" spans="1:5" x14ac:dyDescent="0.3">
      <c r="A70" s="2" t="s">
        <v>97</v>
      </c>
      <c r="B70" s="1" t="s">
        <v>50</v>
      </c>
      <c r="C70" s="2" t="s">
        <v>186</v>
      </c>
      <c r="D70" s="7">
        <v>6</v>
      </c>
      <c r="E70" s="1" t="s">
        <v>200</v>
      </c>
    </row>
    <row r="71" spans="1:5" x14ac:dyDescent="0.3">
      <c r="A71" s="2" t="s">
        <v>98</v>
      </c>
      <c r="B71" s="1" t="s">
        <v>140</v>
      </c>
      <c r="C71" s="2" t="s">
        <v>186</v>
      </c>
      <c r="D71" s="7">
        <v>1</v>
      </c>
      <c r="E71" s="1" t="s">
        <v>200</v>
      </c>
    </row>
    <row r="72" spans="1:5" x14ac:dyDescent="0.3">
      <c r="A72" s="2" t="s">
        <v>100</v>
      </c>
      <c r="B72" s="1" t="s">
        <v>40</v>
      </c>
      <c r="C72" s="2" t="s">
        <v>186</v>
      </c>
      <c r="D72" s="7">
        <v>6</v>
      </c>
      <c r="E72" s="1" t="s">
        <v>200</v>
      </c>
    </row>
    <row r="73" spans="1:5" x14ac:dyDescent="0.3">
      <c r="A73" s="2" t="s">
        <v>101</v>
      </c>
      <c r="B73" s="1" t="s">
        <v>142</v>
      </c>
      <c r="C73" s="2" t="s">
        <v>186</v>
      </c>
      <c r="D73" s="7">
        <v>1</v>
      </c>
      <c r="E73" s="1" t="s">
        <v>200</v>
      </c>
    </row>
    <row r="74" spans="1:5" x14ac:dyDescent="0.3">
      <c r="A74" s="2" t="s">
        <v>103</v>
      </c>
      <c r="B74" s="2" t="s">
        <v>189</v>
      </c>
      <c r="C74" s="2" t="s">
        <v>178</v>
      </c>
      <c r="D74" s="7">
        <v>1</v>
      </c>
      <c r="E74" s="2" t="s">
        <v>173</v>
      </c>
    </row>
    <row r="75" spans="1:5" x14ac:dyDescent="0.3">
      <c r="A75" s="2" t="s">
        <v>104</v>
      </c>
      <c r="B75" s="1" t="s">
        <v>99</v>
      </c>
      <c r="C75" s="2" t="s">
        <v>178</v>
      </c>
      <c r="D75" s="7">
        <v>1</v>
      </c>
      <c r="E75" s="2" t="s">
        <v>184</v>
      </c>
    </row>
    <row r="76" spans="1:5" x14ac:dyDescent="0.3">
      <c r="A76" s="2" t="s">
        <v>105</v>
      </c>
      <c r="B76" s="2" t="s">
        <v>190</v>
      </c>
      <c r="C76" s="2" t="s">
        <v>178</v>
      </c>
      <c r="D76" s="7">
        <v>1</v>
      </c>
      <c r="E76" s="2" t="s">
        <v>185</v>
      </c>
    </row>
    <row r="77" spans="1:5" x14ac:dyDescent="0.3">
      <c r="A77" s="2" t="s">
        <v>194</v>
      </c>
      <c r="B77" s="1" t="s">
        <v>48</v>
      </c>
      <c r="C77" s="2" t="s">
        <v>186</v>
      </c>
      <c r="D77" s="7">
        <v>4</v>
      </c>
      <c r="E77" s="1" t="s">
        <v>200</v>
      </c>
    </row>
    <row r="78" spans="1:5" x14ac:dyDescent="0.3">
      <c r="A78" s="2" t="s">
        <v>195</v>
      </c>
      <c r="B78" s="1" t="s">
        <v>211</v>
      </c>
      <c r="C78" s="2" t="s">
        <v>186</v>
      </c>
      <c r="D78" s="7">
        <v>3</v>
      </c>
      <c r="E78" s="2" t="s">
        <v>200</v>
      </c>
    </row>
    <row r="79" spans="1:5" x14ac:dyDescent="0.3">
      <c r="A79" s="2" t="s">
        <v>196</v>
      </c>
      <c r="B79" s="1" t="s">
        <v>102</v>
      </c>
      <c r="C79" s="5" t="s">
        <v>181</v>
      </c>
      <c r="D79" s="7">
        <v>1</v>
      </c>
    </row>
    <row r="80" spans="1:5" s="4" customFormat="1" x14ac:dyDescent="0.3">
      <c r="A80" s="3" t="s">
        <v>106</v>
      </c>
      <c r="B80" s="3" t="s">
        <v>107</v>
      </c>
      <c r="C80" s="3"/>
      <c r="D80" s="8"/>
      <c r="E80" s="3"/>
    </row>
    <row r="81" spans="1:5" x14ac:dyDescent="0.3">
      <c r="A81" s="2" t="s">
        <v>108</v>
      </c>
      <c r="B81" s="1" t="s">
        <v>37</v>
      </c>
      <c r="C81" s="2" t="s">
        <v>186</v>
      </c>
      <c r="D81" s="7">
        <v>2</v>
      </c>
      <c r="E81" s="1" t="s">
        <v>200</v>
      </c>
    </row>
    <row r="82" spans="1:5" x14ac:dyDescent="0.3">
      <c r="A82" s="2" t="s">
        <v>109</v>
      </c>
      <c r="B82" s="1" t="s">
        <v>42</v>
      </c>
      <c r="C82" s="2" t="s">
        <v>186</v>
      </c>
      <c r="D82" s="7">
        <v>2</v>
      </c>
      <c r="E82" s="1" t="s">
        <v>200</v>
      </c>
    </row>
    <row r="83" spans="1:5" x14ac:dyDescent="0.3">
      <c r="A83" s="2" t="s">
        <v>111</v>
      </c>
      <c r="B83" s="1" t="s">
        <v>77</v>
      </c>
      <c r="C83" s="2" t="s">
        <v>186</v>
      </c>
      <c r="D83" s="7">
        <v>4</v>
      </c>
      <c r="E83" s="1" t="s">
        <v>200</v>
      </c>
    </row>
    <row r="84" spans="1:5" x14ac:dyDescent="0.3">
      <c r="A84" s="2" t="s">
        <v>112</v>
      </c>
      <c r="B84" s="1" t="s">
        <v>127</v>
      </c>
      <c r="C84" s="2" t="s">
        <v>186</v>
      </c>
      <c r="D84" s="7">
        <v>2</v>
      </c>
      <c r="E84" s="1" t="s">
        <v>200</v>
      </c>
    </row>
    <row r="85" spans="1:5" x14ac:dyDescent="0.3">
      <c r="A85" s="2" t="s">
        <v>113</v>
      </c>
      <c r="B85" s="2" t="s">
        <v>209</v>
      </c>
      <c r="C85" s="2" t="s">
        <v>186</v>
      </c>
      <c r="D85" s="7">
        <v>2</v>
      </c>
      <c r="E85" s="1" t="s">
        <v>200</v>
      </c>
    </row>
    <row r="86" spans="1:5" x14ac:dyDescent="0.3">
      <c r="A86" s="2" t="s">
        <v>114</v>
      </c>
      <c r="B86" s="2" t="s">
        <v>208</v>
      </c>
      <c r="C86" s="2" t="s">
        <v>186</v>
      </c>
      <c r="D86" s="7">
        <v>13</v>
      </c>
      <c r="E86" s="2" t="s">
        <v>174</v>
      </c>
    </row>
    <row r="87" spans="1:5" x14ac:dyDescent="0.3">
      <c r="A87" s="2" t="s">
        <v>115</v>
      </c>
      <c r="B87" s="1" t="s">
        <v>110</v>
      </c>
      <c r="C87" s="2" t="s">
        <v>186</v>
      </c>
      <c r="D87" s="7">
        <v>4</v>
      </c>
      <c r="E87" s="1" t="s">
        <v>200</v>
      </c>
    </row>
    <row r="88" spans="1:5" x14ac:dyDescent="0.3">
      <c r="A88" s="2" t="s">
        <v>117</v>
      </c>
      <c r="B88" s="2" t="s">
        <v>132</v>
      </c>
      <c r="C88" s="2" t="s">
        <v>186</v>
      </c>
      <c r="D88" s="7">
        <v>4</v>
      </c>
      <c r="E88" s="1" t="s">
        <v>200</v>
      </c>
    </row>
    <row r="89" spans="1:5" x14ac:dyDescent="0.3">
      <c r="A89" s="2" t="s">
        <v>119</v>
      </c>
      <c r="B89" s="2" t="s">
        <v>116</v>
      </c>
      <c r="C89" s="2" t="s">
        <v>186</v>
      </c>
      <c r="D89" s="7">
        <v>4</v>
      </c>
      <c r="E89" s="1" t="s">
        <v>200</v>
      </c>
    </row>
    <row r="90" spans="1:5" x14ac:dyDescent="0.3">
      <c r="A90" s="2" t="s">
        <v>120</v>
      </c>
      <c r="B90" s="1" t="s">
        <v>131</v>
      </c>
      <c r="C90" s="2" t="s">
        <v>178</v>
      </c>
      <c r="D90" s="7">
        <v>1</v>
      </c>
      <c r="E90" s="2" t="s">
        <v>73</v>
      </c>
    </row>
    <row r="91" spans="1:5" x14ac:dyDescent="0.3">
      <c r="A91" s="2" t="s">
        <v>121</v>
      </c>
      <c r="B91" s="1" t="s">
        <v>130</v>
      </c>
      <c r="C91" s="2" t="s">
        <v>178</v>
      </c>
      <c r="D91" s="7">
        <v>1</v>
      </c>
      <c r="E91" s="2" t="s">
        <v>173</v>
      </c>
    </row>
    <row r="92" spans="1:5" x14ac:dyDescent="0.3">
      <c r="A92" s="2" t="s">
        <v>123</v>
      </c>
      <c r="B92" s="1" t="s">
        <v>125</v>
      </c>
      <c r="C92" s="2" t="s">
        <v>178</v>
      </c>
      <c r="D92" s="7">
        <v>1</v>
      </c>
      <c r="E92" s="2" t="s">
        <v>173</v>
      </c>
    </row>
    <row r="93" spans="1:5" x14ac:dyDescent="0.3">
      <c r="A93" s="2" t="s">
        <v>124</v>
      </c>
      <c r="B93" s="2" t="s">
        <v>169</v>
      </c>
      <c r="C93" s="5" t="s">
        <v>179</v>
      </c>
      <c r="D93" s="7">
        <v>1</v>
      </c>
    </row>
    <row r="94" spans="1:5" x14ac:dyDescent="0.3">
      <c r="A94" s="2" t="s">
        <v>126</v>
      </c>
      <c r="B94" s="1" t="s">
        <v>122</v>
      </c>
      <c r="C94" s="2" t="s">
        <v>178</v>
      </c>
      <c r="D94" s="7">
        <v>1</v>
      </c>
      <c r="E94" s="2" t="s">
        <v>173</v>
      </c>
    </row>
    <row r="95" spans="1:5" x14ac:dyDescent="0.3">
      <c r="A95" s="2" t="s">
        <v>128</v>
      </c>
      <c r="B95" s="2" t="s">
        <v>168</v>
      </c>
      <c r="C95" s="5" t="s">
        <v>181</v>
      </c>
      <c r="D95" s="7">
        <v>1</v>
      </c>
    </row>
    <row r="96" spans="1:5" x14ac:dyDescent="0.3">
      <c r="A96" s="2" t="s">
        <v>129</v>
      </c>
      <c r="B96" s="1" t="s">
        <v>118</v>
      </c>
      <c r="C96" s="2" t="s">
        <v>178</v>
      </c>
      <c r="D96" s="7">
        <v>1</v>
      </c>
      <c r="E96" s="2" t="s">
        <v>173</v>
      </c>
    </row>
    <row r="97" spans="1:5" s="4" customFormat="1" x14ac:dyDescent="0.3">
      <c r="A97" s="3" t="s">
        <v>133</v>
      </c>
      <c r="B97" s="3" t="s">
        <v>134</v>
      </c>
      <c r="C97" s="3"/>
      <c r="D97" s="8"/>
      <c r="E97" s="3"/>
    </row>
    <row r="98" spans="1:5" x14ac:dyDescent="0.3">
      <c r="A98" s="2" t="s">
        <v>135</v>
      </c>
      <c r="B98" s="1" t="s">
        <v>147</v>
      </c>
      <c r="C98" s="5" t="s">
        <v>182</v>
      </c>
      <c r="D98" s="7">
        <v>1</v>
      </c>
    </row>
    <row r="99" spans="1:5" x14ac:dyDescent="0.3">
      <c r="A99" s="2" t="s">
        <v>136</v>
      </c>
      <c r="B99" s="1" t="s">
        <v>152</v>
      </c>
      <c r="C99" s="2" t="s">
        <v>186</v>
      </c>
      <c r="D99" s="7">
        <v>2</v>
      </c>
      <c r="E99" s="1" t="s">
        <v>200</v>
      </c>
    </row>
    <row r="100" spans="1:5" x14ac:dyDescent="0.3">
      <c r="A100" s="2" t="s">
        <v>137</v>
      </c>
      <c r="B100" s="1" t="s">
        <v>145</v>
      </c>
      <c r="C100" s="2" t="s">
        <v>186</v>
      </c>
      <c r="D100" s="7">
        <v>4</v>
      </c>
      <c r="E100" s="1" t="s">
        <v>200</v>
      </c>
    </row>
    <row r="101" spans="1:5" x14ac:dyDescent="0.3">
      <c r="A101" s="2" t="s">
        <v>138</v>
      </c>
      <c r="B101" s="1" t="s">
        <v>216</v>
      </c>
      <c r="C101" s="5" t="s">
        <v>217</v>
      </c>
      <c r="D101" s="7">
        <v>1</v>
      </c>
      <c r="E101" s="2"/>
    </row>
    <row r="102" spans="1:5" x14ac:dyDescent="0.3">
      <c r="A102" s="2" t="s">
        <v>139</v>
      </c>
      <c r="B102" s="1" t="s">
        <v>140</v>
      </c>
      <c r="C102" s="2" t="s">
        <v>186</v>
      </c>
      <c r="D102" s="7">
        <v>14</v>
      </c>
      <c r="E102" s="1" t="s">
        <v>200</v>
      </c>
    </row>
    <row r="103" spans="1:5" x14ac:dyDescent="0.3">
      <c r="A103" s="2" t="s">
        <v>141</v>
      </c>
      <c r="B103" s="2" t="s">
        <v>171</v>
      </c>
      <c r="C103" s="2" t="s">
        <v>178</v>
      </c>
      <c r="D103" s="7">
        <v>1</v>
      </c>
      <c r="E103" s="2" t="s">
        <v>173</v>
      </c>
    </row>
    <row r="104" spans="1:5" x14ac:dyDescent="0.3">
      <c r="A104" s="2" t="s">
        <v>143</v>
      </c>
      <c r="B104" s="2" t="s">
        <v>172</v>
      </c>
      <c r="C104" s="2" t="s">
        <v>178</v>
      </c>
      <c r="D104" s="7">
        <v>1</v>
      </c>
      <c r="E104" s="2" t="s">
        <v>173</v>
      </c>
    </row>
    <row r="105" spans="1:5" x14ac:dyDescent="0.3">
      <c r="A105" s="2" t="s">
        <v>144</v>
      </c>
      <c r="B105" s="2" t="s">
        <v>170</v>
      </c>
      <c r="C105" s="2" t="s">
        <v>178</v>
      </c>
      <c r="D105" s="7">
        <v>1</v>
      </c>
      <c r="E105" s="2" t="s">
        <v>173</v>
      </c>
    </row>
    <row r="106" spans="1:5" x14ac:dyDescent="0.3">
      <c r="A106" s="2" t="s">
        <v>146</v>
      </c>
      <c r="B106" s="2" t="s">
        <v>210</v>
      </c>
      <c r="C106" s="2" t="s">
        <v>186</v>
      </c>
      <c r="D106" s="7">
        <v>2</v>
      </c>
      <c r="E106" s="2" t="s">
        <v>174</v>
      </c>
    </row>
    <row r="107" spans="1:5" x14ac:dyDescent="0.3">
      <c r="A107" s="2" t="s">
        <v>148</v>
      </c>
      <c r="B107" s="2" t="s">
        <v>208</v>
      </c>
      <c r="C107" s="2" t="s">
        <v>186</v>
      </c>
      <c r="D107" s="7">
        <v>4</v>
      </c>
      <c r="E107" s="2" t="s">
        <v>174</v>
      </c>
    </row>
    <row r="108" spans="1:5" x14ac:dyDescent="0.3">
      <c r="A108" s="2" t="s">
        <v>149</v>
      </c>
      <c r="B108" s="1" t="s">
        <v>142</v>
      </c>
      <c r="C108" s="2" t="s">
        <v>186</v>
      </c>
      <c r="D108" s="7">
        <v>10</v>
      </c>
      <c r="E108" s="1" t="s">
        <v>200</v>
      </c>
    </row>
    <row r="109" spans="1:5" x14ac:dyDescent="0.3">
      <c r="A109" s="2" t="s">
        <v>151</v>
      </c>
      <c r="B109" s="1" t="s">
        <v>150</v>
      </c>
      <c r="C109" s="2" t="s">
        <v>186</v>
      </c>
      <c r="D109" s="7">
        <v>4</v>
      </c>
      <c r="E109" s="1" t="s">
        <v>200</v>
      </c>
    </row>
    <row r="110" spans="1:5" x14ac:dyDescent="0.3">
      <c r="A110" s="2" t="s">
        <v>153</v>
      </c>
      <c r="B110" s="1" t="s">
        <v>154</v>
      </c>
      <c r="C110" s="5" t="s">
        <v>183</v>
      </c>
      <c r="D110" s="7">
        <v>1</v>
      </c>
    </row>
    <row r="111" spans="1:5" s="4" customFormat="1" x14ac:dyDescent="0.3">
      <c r="A111" s="3" t="s">
        <v>155</v>
      </c>
      <c r="B111" s="3" t="s">
        <v>156</v>
      </c>
      <c r="C111" s="3"/>
      <c r="D111" s="8"/>
      <c r="E111" s="3"/>
    </row>
    <row r="112" spans="1:5" x14ac:dyDescent="0.3">
      <c r="A112" s="2" t="s">
        <v>157</v>
      </c>
      <c r="B112" s="1" t="s">
        <v>213</v>
      </c>
      <c r="C112" s="6" t="s">
        <v>215</v>
      </c>
      <c r="D112" s="7">
        <v>1</v>
      </c>
      <c r="E112" s="1" t="s">
        <v>73</v>
      </c>
    </row>
    <row r="113" spans="1:5" x14ac:dyDescent="0.3">
      <c r="A113" s="2" t="s">
        <v>159</v>
      </c>
      <c r="B113" s="1" t="s">
        <v>160</v>
      </c>
      <c r="C113" s="2" t="s">
        <v>186</v>
      </c>
      <c r="D113" s="7">
        <v>2</v>
      </c>
      <c r="E113" s="1" t="s">
        <v>200</v>
      </c>
    </row>
    <row r="114" spans="1:5" x14ac:dyDescent="0.3">
      <c r="A114" s="2" t="s">
        <v>161</v>
      </c>
      <c r="B114" s="1" t="s">
        <v>162</v>
      </c>
      <c r="C114" s="2" t="s">
        <v>178</v>
      </c>
      <c r="D114" s="7">
        <v>1</v>
      </c>
      <c r="E114" s="2" t="s">
        <v>173</v>
      </c>
    </row>
    <row r="115" spans="1:5" x14ac:dyDescent="0.3">
      <c r="A115" s="2" t="s">
        <v>214</v>
      </c>
      <c r="B115" s="1" t="s">
        <v>158</v>
      </c>
      <c r="C115" s="2" t="s">
        <v>186</v>
      </c>
      <c r="D115" s="7">
        <v>4</v>
      </c>
      <c r="E115" s="1" t="s">
        <v>200</v>
      </c>
    </row>
  </sheetData>
  <sortState xmlns:xlrd2="http://schemas.microsoft.com/office/spreadsheetml/2017/richdata2" ref="B25:E45">
    <sortCondition ref="B25:B45"/>
  </sortState>
  <phoneticPr fontId="3" type="noConversion"/>
  <hyperlinks>
    <hyperlink ref="C64" r:id="rId1" xr:uid="{B78CD519-7682-4E85-BA87-A8DC5E5B32A1}"/>
    <hyperlink ref="C93" r:id="rId2" xr:uid="{048D794F-D04F-4569-AFA0-AF7AA409C409}"/>
    <hyperlink ref="C39" r:id="rId3" xr:uid="{009A02E8-FB5D-4D05-AA3A-50E0FE49F3B7}"/>
    <hyperlink ref="C66" r:id="rId4" xr:uid="{0E3A4F44-3C29-4FEB-8777-F1A4777FD56F}"/>
    <hyperlink ref="C79" r:id="rId5" xr:uid="{C793C0E7-5B97-453C-ADF2-8D614F8EA396}"/>
    <hyperlink ref="C95" r:id="rId6" xr:uid="{3638179D-BF7B-404B-AE71-7A90045066D9}"/>
    <hyperlink ref="C98" r:id="rId7" xr:uid="{7443530C-D4E6-4C2E-AF56-A3AE8A5BB406}"/>
    <hyperlink ref="C110" r:id="rId8" xr:uid="{B00FD732-109B-4CAF-99A1-425E84A3D1E3}"/>
    <hyperlink ref="C53" r:id="rId9" xr:uid="{B59E41C0-9EB3-4ADC-B057-1E2D203E03C9}"/>
    <hyperlink ref="C8" r:id="rId10" xr:uid="{92DCDCFB-C2BA-4DFE-876E-FA6C5C249035}"/>
    <hyperlink ref="C112" r:id="rId11" xr:uid="{CC4095D9-6692-49BF-AA4D-0F2F1772FD21}"/>
    <hyperlink ref="C101" r:id="rId12" xr:uid="{037C2868-C8E6-457B-A7BB-7AA52D4B3290}"/>
  </hyperlinks>
  <pageMargins left="0.7" right="0.7" top="0.75" bottom="0.75" header="0.3" footer="0.3"/>
  <pageSetup paperSize="9" orientation="landscape" horizontalDpi="4294967295" verticalDpi="4294967295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7070-A9F0-44A1-87FE-D07D143017CF}">
  <dimension ref="A1:G85"/>
  <sheetViews>
    <sheetView tabSelected="1" topLeftCell="A61" zoomScaleNormal="100" workbookViewId="0">
      <selection activeCell="H88" sqref="H88"/>
    </sheetView>
  </sheetViews>
  <sheetFormatPr defaultRowHeight="15.6" x14ac:dyDescent="0.3"/>
  <cols>
    <col min="1" max="1" width="14.77734375" style="1" customWidth="1"/>
    <col min="2" max="2" width="33.109375" style="1" bestFit="1" customWidth="1"/>
    <col min="3" max="3" width="86.5546875" style="1" bestFit="1" customWidth="1"/>
    <col min="4" max="4" width="13.6640625" style="7" customWidth="1"/>
    <col min="5" max="5" width="32" style="1" customWidth="1"/>
    <col min="6" max="6" width="10.88671875" style="13" bestFit="1" customWidth="1"/>
    <col min="7" max="7" width="14.109375" style="13" bestFit="1" customWidth="1"/>
  </cols>
  <sheetData>
    <row r="1" spans="1:7" x14ac:dyDescent="0.3">
      <c r="A1" s="1" t="s">
        <v>0</v>
      </c>
    </row>
    <row r="2" spans="1:7" x14ac:dyDescent="0.3">
      <c r="A2" s="1" t="s">
        <v>1</v>
      </c>
    </row>
    <row r="3" spans="1:7" x14ac:dyDescent="0.3">
      <c r="A3" s="1" t="s">
        <v>2</v>
      </c>
    </row>
    <row r="4" spans="1:7" x14ac:dyDescent="0.3">
      <c r="A4" s="1" t="s">
        <v>3</v>
      </c>
      <c r="B4" s="15">
        <v>46146</v>
      </c>
    </row>
    <row r="5" spans="1:7" x14ac:dyDescent="0.3">
      <c r="A5" s="1" t="s">
        <v>4</v>
      </c>
    </row>
    <row r="6" spans="1:7" x14ac:dyDescent="0.3">
      <c r="A6" s="7" t="s">
        <v>197</v>
      </c>
      <c r="B6" s="1" t="s">
        <v>0</v>
      </c>
      <c r="C6" s="2" t="s">
        <v>177</v>
      </c>
      <c r="D6" s="9" t="s">
        <v>6</v>
      </c>
      <c r="E6" s="1" t="s">
        <v>7</v>
      </c>
      <c r="F6" s="1" t="s">
        <v>218</v>
      </c>
      <c r="G6" s="1" t="s">
        <v>220</v>
      </c>
    </row>
    <row r="7" spans="1:7" x14ac:dyDescent="0.3">
      <c r="A7" s="10">
        <v>1</v>
      </c>
      <c r="B7" s="1" t="s">
        <v>147</v>
      </c>
      <c r="C7" s="6" t="s">
        <v>182</v>
      </c>
      <c r="D7" s="7">
        <v>1</v>
      </c>
      <c r="F7" s="13">
        <v>5.0199999999999996</v>
      </c>
      <c r="G7" s="13">
        <f>D7*F7</f>
        <v>5.0199999999999996</v>
      </c>
    </row>
    <row r="8" spans="1:7" s="21" customFormat="1" x14ac:dyDescent="0.3">
      <c r="A8" s="16">
        <v>2</v>
      </c>
      <c r="B8" s="17" t="s">
        <v>89</v>
      </c>
      <c r="C8" s="18" t="s">
        <v>178</v>
      </c>
      <c r="D8" s="19">
        <v>2</v>
      </c>
      <c r="E8" s="17" t="s">
        <v>221</v>
      </c>
      <c r="F8" s="20">
        <v>58.73</v>
      </c>
      <c r="G8" s="20">
        <f t="shared" ref="G8:G71" si="0">D8*F8</f>
        <v>117.46</v>
      </c>
    </row>
    <row r="9" spans="1:7" s="21" customFormat="1" x14ac:dyDescent="0.3">
      <c r="A9" s="16">
        <v>3</v>
      </c>
      <c r="B9" s="17" t="s">
        <v>82</v>
      </c>
      <c r="C9" s="18" t="s">
        <v>178</v>
      </c>
      <c r="D9" s="19">
        <v>2</v>
      </c>
      <c r="E9" s="17" t="s">
        <v>221</v>
      </c>
      <c r="F9" s="20">
        <v>60.3</v>
      </c>
      <c r="G9" s="20">
        <f t="shared" si="0"/>
        <v>120.6</v>
      </c>
    </row>
    <row r="10" spans="1:7" x14ac:dyDescent="0.3">
      <c r="A10" s="10">
        <v>4</v>
      </c>
      <c r="B10" s="1" t="s">
        <v>152</v>
      </c>
      <c r="C10" s="2" t="s">
        <v>186</v>
      </c>
      <c r="D10" s="7">
        <v>2</v>
      </c>
      <c r="E10" s="1" t="s">
        <v>200</v>
      </c>
      <c r="F10" s="13">
        <v>0.05</v>
      </c>
      <c r="G10" s="13">
        <f t="shared" si="0"/>
        <v>0.1</v>
      </c>
    </row>
    <row r="11" spans="1:7" x14ac:dyDescent="0.3">
      <c r="A11" s="10">
        <v>5</v>
      </c>
      <c r="B11" s="1" t="s">
        <v>37</v>
      </c>
      <c r="C11" s="2" t="s">
        <v>186</v>
      </c>
      <c r="D11" s="7">
        <v>4</v>
      </c>
      <c r="E11" s="1" t="s">
        <v>200</v>
      </c>
      <c r="F11" s="13">
        <v>0.05</v>
      </c>
      <c r="G11" s="13">
        <f t="shared" si="0"/>
        <v>0.2</v>
      </c>
    </row>
    <row r="12" spans="1:7" x14ac:dyDescent="0.3">
      <c r="A12" s="10">
        <v>6</v>
      </c>
      <c r="B12" s="1" t="s">
        <v>42</v>
      </c>
      <c r="C12" s="2" t="s">
        <v>186</v>
      </c>
      <c r="D12" s="7">
        <v>6</v>
      </c>
      <c r="E12" s="1" t="s">
        <v>200</v>
      </c>
      <c r="F12" s="13">
        <v>0.05</v>
      </c>
      <c r="G12" s="13">
        <f t="shared" si="0"/>
        <v>0.30000000000000004</v>
      </c>
    </row>
    <row r="13" spans="1:7" x14ac:dyDescent="0.3">
      <c r="A13" s="10">
        <v>7</v>
      </c>
      <c r="B13" s="1" t="s">
        <v>77</v>
      </c>
      <c r="C13" s="2" t="s">
        <v>186</v>
      </c>
      <c r="D13" s="7">
        <v>5</v>
      </c>
      <c r="E13" s="1" t="s">
        <v>200</v>
      </c>
      <c r="F13" s="13">
        <v>0.05</v>
      </c>
      <c r="G13" s="13">
        <f t="shared" si="0"/>
        <v>0.25</v>
      </c>
    </row>
    <row r="14" spans="1:7" x14ac:dyDescent="0.3">
      <c r="A14" s="10">
        <v>8</v>
      </c>
      <c r="B14" s="1" t="s">
        <v>145</v>
      </c>
      <c r="C14" s="2" t="s">
        <v>186</v>
      </c>
      <c r="D14" s="7">
        <v>4</v>
      </c>
      <c r="E14" s="1" t="s">
        <v>200</v>
      </c>
      <c r="F14" s="13">
        <v>0.05</v>
      </c>
      <c r="G14" s="13">
        <f t="shared" si="0"/>
        <v>0.2</v>
      </c>
    </row>
    <row r="15" spans="1:7" x14ac:dyDescent="0.3">
      <c r="A15" s="10">
        <v>9</v>
      </c>
      <c r="B15" s="1" t="s">
        <v>50</v>
      </c>
      <c r="C15" s="2" t="s">
        <v>186</v>
      </c>
      <c r="D15" s="7">
        <v>22</v>
      </c>
      <c r="E15" s="1" t="s">
        <v>200</v>
      </c>
      <c r="F15" s="13">
        <v>0.05</v>
      </c>
      <c r="G15" s="13">
        <f t="shared" si="0"/>
        <v>1.1000000000000001</v>
      </c>
    </row>
    <row r="16" spans="1:7" x14ac:dyDescent="0.3">
      <c r="A16" s="10">
        <v>10</v>
      </c>
      <c r="B16" s="1" t="s">
        <v>160</v>
      </c>
      <c r="C16" s="2" t="s">
        <v>186</v>
      </c>
      <c r="D16" s="7">
        <v>2</v>
      </c>
      <c r="E16" s="1" t="s">
        <v>200</v>
      </c>
      <c r="F16" s="13">
        <v>0.05</v>
      </c>
      <c r="G16" s="13">
        <f t="shared" si="0"/>
        <v>0.1</v>
      </c>
    </row>
    <row r="17" spans="1:7" s="21" customFormat="1" x14ac:dyDescent="0.3">
      <c r="A17" s="16">
        <v>11</v>
      </c>
      <c r="B17" s="17" t="s">
        <v>72</v>
      </c>
      <c r="C17" s="18" t="s">
        <v>178</v>
      </c>
      <c r="D17" s="19">
        <v>1</v>
      </c>
      <c r="E17" s="18" t="s">
        <v>184</v>
      </c>
      <c r="F17" s="20">
        <v>3.72</v>
      </c>
      <c r="G17" s="20">
        <f t="shared" si="0"/>
        <v>3.72</v>
      </c>
    </row>
    <row r="18" spans="1:7" x14ac:dyDescent="0.3">
      <c r="A18" s="10">
        <v>12</v>
      </c>
      <c r="B18" s="2" t="s">
        <v>91</v>
      </c>
      <c r="C18" s="5" t="s">
        <v>187</v>
      </c>
      <c r="D18" s="7">
        <v>2</v>
      </c>
      <c r="E18" s="2" t="s">
        <v>73</v>
      </c>
      <c r="F18" s="13">
        <v>0.97</v>
      </c>
      <c r="G18" s="13">
        <f t="shared" si="0"/>
        <v>1.94</v>
      </c>
    </row>
    <row r="19" spans="1:7" s="21" customFormat="1" x14ac:dyDescent="0.3">
      <c r="A19" s="16">
        <v>13</v>
      </c>
      <c r="B19" s="17" t="s">
        <v>162</v>
      </c>
      <c r="C19" s="18" t="s">
        <v>178</v>
      </c>
      <c r="D19" s="19">
        <v>1</v>
      </c>
      <c r="E19" s="18" t="s">
        <v>173</v>
      </c>
      <c r="F19" s="20"/>
      <c r="G19" s="20">
        <f t="shared" si="0"/>
        <v>0</v>
      </c>
    </row>
    <row r="20" spans="1:7" x14ac:dyDescent="0.3">
      <c r="A20" s="10">
        <v>14</v>
      </c>
      <c r="B20" s="1" t="s">
        <v>216</v>
      </c>
      <c r="C20" s="5" t="s">
        <v>217</v>
      </c>
      <c r="D20" s="7">
        <v>1</v>
      </c>
      <c r="E20" s="2"/>
      <c r="F20" s="13">
        <v>0.22</v>
      </c>
      <c r="G20" s="13">
        <f t="shared" si="0"/>
        <v>0.22</v>
      </c>
    </row>
    <row r="21" spans="1:7" x14ac:dyDescent="0.3">
      <c r="A21" s="10">
        <v>15</v>
      </c>
      <c r="B21" s="1" t="s">
        <v>127</v>
      </c>
      <c r="C21" s="2" t="s">
        <v>186</v>
      </c>
      <c r="D21" s="7">
        <v>2</v>
      </c>
      <c r="E21" s="1" t="s">
        <v>200</v>
      </c>
      <c r="F21" s="13">
        <v>0.05</v>
      </c>
      <c r="G21" s="13">
        <f t="shared" si="0"/>
        <v>0.1</v>
      </c>
    </row>
    <row r="22" spans="1:7" x14ac:dyDescent="0.3">
      <c r="A22" s="10">
        <v>16</v>
      </c>
      <c r="B22" s="1" t="s">
        <v>198</v>
      </c>
      <c r="C22" s="2" t="s">
        <v>186</v>
      </c>
      <c r="D22" s="7">
        <v>1</v>
      </c>
      <c r="E22" s="1" t="s">
        <v>200</v>
      </c>
      <c r="F22" s="13">
        <v>0.1</v>
      </c>
      <c r="G22" s="13">
        <f t="shared" si="0"/>
        <v>0.1</v>
      </c>
    </row>
    <row r="23" spans="1:7" x14ac:dyDescent="0.3">
      <c r="A23" s="10">
        <v>17</v>
      </c>
      <c r="B23" s="2" t="s">
        <v>140</v>
      </c>
      <c r="C23" s="2" t="s">
        <v>186</v>
      </c>
      <c r="D23" s="7">
        <v>16</v>
      </c>
      <c r="E23" s="1" t="s">
        <v>200</v>
      </c>
      <c r="F23" s="13">
        <v>0.1</v>
      </c>
      <c r="G23" s="13">
        <f t="shared" si="0"/>
        <v>1.6</v>
      </c>
    </row>
    <row r="24" spans="1:7" x14ac:dyDescent="0.3">
      <c r="A24" s="10">
        <v>18</v>
      </c>
      <c r="B24" s="1" t="s">
        <v>40</v>
      </c>
      <c r="C24" s="2" t="s">
        <v>186</v>
      </c>
      <c r="D24" s="7">
        <v>22</v>
      </c>
      <c r="E24" s="1" t="s">
        <v>200</v>
      </c>
      <c r="F24" s="13">
        <v>0.1</v>
      </c>
      <c r="G24" s="13">
        <f t="shared" si="0"/>
        <v>2.2000000000000002</v>
      </c>
    </row>
    <row r="25" spans="1:7" s="21" customFormat="1" x14ac:dyDescent="0.3">
      <c r="A25" s="16">
        <v>19</v>
      </c>
      <c r="B25" s="18" t="s">
        <v>171</v>
      </c>
      <c r="C25" s="18" t="s">
        <v>178</v>
      </c>
      <c r="D25" s="19">
        <v>1</v>
      </c>
      <c r="E25" s="18" t="s">
        <v>173</v>
      </c>
      <c r="F25" s="20"/>
      <c r="G25" s="20">
        <f t="shared" si="0"/>
        <v>0</v>
      </c>
    </row>
    <row r="26" spans="1:7" s="21" customFormat="1" x14ac:dyDescent="0.3">
      <c r="A26" s="16">
        <v>20</v>
      </c>
      <c r="B26" s="18" t="s">
        <v>172</v>
      </c>
      <c r="C26" s="18" t="s">
        <v>178</v>
      </c>
      <c r="D26" s="19">
        <v>1</v>
      </c>
      <c r="E26" s="18" t="s">
        <v>173</v>
      </c>
      <c r="F26" s="20"/>
      <c r="G26" s="20">
        <f t="shared" si="0"/>
        <v>0</v>
      </c>
    </row>
    <row r="27" spans="1:7" s="21" customFormat="1" x14ac:dyDescent="0.3">
      <c r="A27" s="16">
        <v>21</v>
      </c>
      <c r="B27" s="18" t="s">
        <v>170</v>
      </c>
      <c r="C27" s="18" t="s">
        <v>178</v>
      </c>
      <c r="D27" s="19">
        <v>1</v>
      </c>
      <c r="E27" s="18" t="s">
        <v>173</v>
      </c>
      <c r="F27" s="20"/>
      <c r="G27" s="20">
        <f t="shared" si="0"/>
        <v>0</v>
      </c>
    </row>
    <row r="28" spans="1:7" x14ac:dyDescent="0.3">
      <c r="A28" s="10">
        <v>22</v>
      </c>
      <c r="B28" s="2" t="s">
        <v>210</v>
      </c>
      <c r="C28" s="2" t="s">
        <v>186</v>
      </c>
      <c r="D28" s="7">
        <v>2</v>
      </c>
      <c r="E28" s="2" t="s">
        <v>174</v>
      </c>
      <c r="F28" s="13">
        <v>0.1</v>
      </c>
      <c r="G28" s="13">
        <f t="shared" si="0"/>
        <v>0.2</v>
      </c>
    </row>
    <row r="29" spans="1:7" x14ac:dyDescent="0.3">
      <c r="A29" s="10">
        <v>23</v>
      </c>
      <c r="B29" s="2" t="s">
        <v>209</v>
      </c>
      <c r="C29" s="2" t="s">
        <v>186</v>
      </c>
      <c r="D29" s="7">
        <v>6</v>
      </c>
      <c r="E29" s="2" t="s">
        <v>174</v>
      </c>
      <c r="F29" s="13">
        <v>0.1</v>
      </c>
      <c r="G29" s="13">
        <f t="shared" si="0"/>
        <v>0.60000000000000009</v>
      </c>
    </row>
    <row r="30" spans="1:7" x14ac:dyDescent="0.3">
      <c r="A30" s="10">
        <v>24</v>
      </c>
      <c r="B30" s="2" t="s">
        <v>208</v>
      </c>
      <c r="C30" s="2" t="s">
        <v>186</v>
      </c>
      <c r="D30" s="7">
        <v>21</v>
      </c>
      <c r="E30" s="2" t="s">
        <v>174</v>
      </c>
      <c r="F30" s="13">
        <v>0.1</v>
      </c>
      <c r="G30" s="13">
        <f t="shared" si="0"/>
        <v>2.1</v>
      </c>
    </row>
    <row r="31" spans="1:7" x14ac:dyDescent="0.3">
      <c r="A31" s="10">
        <v>25</v>
      </c>
      <c r="B31" s="1" t="s">
        <v>33</v>
      </c>
      <c r="C31" s="2" t="s">
        <v>186</v>
      </c>
      <c r="D31" s="7">
        <v>2</v>
      </c>
      <c r="E31" s="1" t="s">
        <v>200</v>
      </c>
      <c r="F31" s="13">
        <v>0.05</v>
      </c>
      <c r="G31" s="13">
        <f t="shared" si="0"/>
        <v>0.1</v>
      </c>
    </row>
    <row r="32" spans="1:7" x14ac:dyDescent="0.3">
      <c r="A32" s="10">
        <v>26</v>
      </c>
      <c r="B32" s="1" t="s">
        <v>110</v>
      </c>
      <c r="C32" s="2" t="s">
        <v>186</v>
      </c>
      <c r="D32" s="7">
        <v>4</v>
      </c>
      <c r="E32" s="1" t="s">
        <v>200</v>
      </c>
      <c r="F32" s="13">
        <v>0.05</v>
      </c>
      <c r="G32" s="13">
        <f t="shared" si="0"/>
        <v>0.2</v>
      </c>
    </row>
    <row r="33" spans="1:7" x14ac:dyDescent="0.3">
      <c r="A33" s="10">
        <v>27</v>
      </c>
      <c r="B33" s="2" t="s">
        <v>132</v>
      </c>
      <c r="C33" s="2" t="s">
        <v>186</v>
      </c>
      <c r="D33" s="7">
        <v>4</v>
      </c>
      <c r="E33" s="1" t="s">
        <v>200</v>
      </c>
      <c r="F33" s="13">
        <v>0.05</v>
      </c>
      <c r="G33" s="13">
        <f t="shared" si="0"/>
        <v>0.2</v>
      </c>
    </row>
    <row r="34" spans="1:7" x14ac:dyDescent="0.3">
      <c r="A34" s="10">
        <v>28</v>
      </c>
      <c r="B34" s="1" t="s">
        <v>142</v>
      </c>
      <c r="C34" s="2" t="s">
        <v>186</v>
      </c>
      <c r="D34" s="7">
        <v>12</v>
      </c>
      <c r="E34" s="1" t="s">
        <v>200</v>
      </c>
      <c r="F34" s="13">
        <v>0.05</v>
      </c>
      <c r="G34" s="13">
        <f t="shared" si="0"/>
        <v>0.60000000000000009</v>
      </c>
    </row>
    <row r="35" spans="1:7" x14ac:dyDescent="0.3">
      <c r="A35" s="10">
        <v>29</v>
      </c>
      <c r="B35" s="1" t="s">
        <v>65</v>
      </c>
      <c r="C35" s="2" t="s">
        <v>186</v>
      </c>
      <c r="D35" s="7">
        <v>2</v>
      </c>
      <c r="E35" s="1" t="s">
        <v>200</v>
      </c>
      <c r="F35" s="13">
        <v>0.05</v>
      </c>
      <c r="G35" s="13">
        <f t="shared" si="0"/>
        <v>0.1</v>
      </c>
    </row>
    <row r="36" spans="1:7" x14ac:dyDescent="0.3">
      <c r="A36" s="10">
        <v>30</v>
      </c>
      <c r="B36" s="1" t="s">
        <v>150</v>
      </c>
      <c r="C36" s="2" t="s">
        <v>186</v>
      </c>
      <c r="D36" s="7">
        <v>4</v>
      </c>
      <c r="E36" s="1" t="s">
        <v>200</v>
      </c>
      <c r="F36" s="13">
        <v>0.05</v>
      </c>
      <c r="G36" s="13">
        <f t="shared" si="0"/>
        <v>0.2</v>
      </c>
    </row>
    <row r="37" spans="1:7" x14ac:dyDescent="0.3">
      <c r="A37" s="10">
        <v>31</v>
      </c>
      <c r="B37" s="1" t="s">
        <v>46</v>
      </c>
      <c r="C37" s="2" t="s">
        <v>186</v>
      </c>
      <c r="D37" s="7">
        <v>4</v>
      </c>
      <c r="E37" s="1" t="s">
        <v>200</v>
      </c>
      <c r="F37" s="13">
        <v>0.05</v>
      </c>
      <c r="G37" s="13">
        <f t="shared" si="0"/>
        <v>0.2</v>
      </c>
    </row>
    <row r="38" spans="1:7" x14ac:dyDescent="0.3">
      <c r="A38" s="10">
        <v>32</v>
      </c>
      <c r="B38" s="1" t="s">
        <v>158</v>
      </c>
      <c r="C38" s="2" t="s">
        <v>186</v>
      </c>
      <c r="D38" s="7">
        <v>4</v>
      </c>
      <c r="E38" s="1" t="s">
        <v>200</v>
      </c>
      <c r="F38" s="13">
        <v>0.05</v>
      </c>
      <c r="G38" s="13">
        <f t="shared" si="0"/>
        <v>0.2</v>
      </c>
    </row>
    <row r="39" spans="1:7" s="21" customFormat="1" x14ac:dyDescent="0.3">
      <c r="A39" s="16">
        <v>33</v>
      </c>
      <c r="B39" s="17" t="s">
        <v>188</v>
      </c>
      <c r="C39" s="18" t="s">
        <v>178</v>
      </c>
      <c r="D39" s="19">
        <v>1</v>
      </c>
      <c r="E39" s="18" t="s">
        <v>173</v>
      </c>
      <c r="F39" s="20"/>
      <c r="G39" s="20">
        <f t="shared" si="0"/>
        <v>0</v>
      </c>
    </row>
    <row r="40" spans="1:7" s="21" customFormat="1" x14ac:dyDescent="0.3">
      <c r="A40" s="16">
        <v>34</v>
      </c>
      <c r="B40" s="17" t="s">
        <v>70</v>
      </c>
      <c r="C40" s="18" t="s">
        <v>178</v>
      </c>
      <c r="D40" s="19">
        <v>1</v>
      </c>
      <c r="E40" s="18" t="s">
        <v>184</v>
      </c>
      <c r="F40" s="20">
        <v>3.72</v>
      </c>
      <c r="G40" s="20">
        <f t="shared" si="0"/>
        <v>3.72</v>
      </c>
    </row>
    <row r="41" spans="1:7" s="21" customFormat="1" x14ac:dyDescent="0.3">
      <c r="A41" s="16">
        <v>35</v>
      </c>
      <c r="B41" s="17" t="s">
        <v>92</v>
      </c>
      <c r="C41" s="18" t="s">
        <v>178</v>
      </c>
      <c r="D41" s="19">
        <v>1</v>
      </c>
      <c r="E41" s="18" t="s">
        <v>185</v>
      </c>
      <c r="F41" s="20">
        <v>5.29</v>
      </c>
      <c r="G41" s="20">
        <f t="shared" si="0"/>
        <v>5.29</v>
      </c>
    </row>
    <row r="42" spans="1:7" x14ac:dyDescent="0.3">
      <c r="A42" s="10">
        <v>36</v>
      </c>
      <c r="B42" s="1" t="s">
        <v>213</v>
      </c>
      <c r="C42" s="6" t="s">
        <v>215</v>
      </c>
      <c r="D42" s="7">
        <v>1</v>
      </c>
      <c r="E42" s="1" t="s">
        <v>73</v>
      </c>
      <c r="F42" s="13">
        <v>68.97</v>
      </c>
      <c r="G42" s="13">
        <f t="shared" si="0"/>
        <v>68.97</v>
      </c>
    </row>
    <row r="43" spans="1:7" x14ac:dyDescent="0.3">
      <c r="A43" s="10">
        <v>37</v>
      </c>
      <c r="B43" s="1" t="s">
        <v>154</v>
      </c>
      <c r="C43" s="5" t="s">
        <v>183</v>
      </c>
      <c r="D43" s="7">
        <v>1</v>
      </c>
      <c r="F43" s="13">
        <v>7.32</v>
      </c>
      <c r="G43" s="13">
        <f t="shared" si="0"/>
        <v>7.32</v>
      </c>
    </row>
    <row r="44" spans="1:7" s="21" customFormat="1" x14ac:dyDescent="0.3">
      <c r="A44" s="16">
        <v>38</v>
      </c>
      <c r="B44" s="18" t="s">
        <v>189</v>
      </c>
      <c r="C44" s="18" t="s">
        <v>178</v>
      </c>
      <c r="D44" s="19">
        <v>1</v>
      </c>
      <c r="E44" s="18" t="s">
        <v>173</v>
      </c>
      <c r="F44" s="20"/>
      <c r="G44" s="20">
        <f t="shared" si="0"/>
        <v>0</v>
      </c>
    </row>
    <row r="45" spans="1:7" s="21" customFormat="1" x14ac:dyDescent="0.3">
      <c r="A45" s="16">
        <v>39</v>
      </c>
      <c r="B45" s="17" t="s">
        <v>99</v>
      </c>
      <c r="C45" s="18" t="s">
        <v>178</v>
      </c>
      <c r="D45" s="19">
        <v>1</v>
      </c>
      <c r="E45" s="18" t="s">
        <v>184</v>
      </c>
      <c r="F45" s="20">
        <v>3.72</v>
      </c>
      <c r="G45" s="20">
        <f t="shared" si="0"/>
        <v>3.72</v>
      </c>
    </row>
    <row r="46" spans="1:7" s="21" customFormat="1" x14ac:dyDescent="0.3">
      <c r="A46" s="16">
        <v>40</v>
      </c>
      <c r="B46" s="18" t="s">
        <v>190</v>
      </c>
      <c r="C46" s="18" t="s">
        <v>178</v>
      </c>
      <c r="D46" s="19">
        <v>1</v>
      </c>
      <c r="E46" s="18" t="s">
        <v>185</v>
      </c>
      <c r="F46" s="20">
        <v>5.29</v>
      </c>
      <c r="G46" s="20">
        <f t="shared" si="0"/>
        <v>5.29</v>
      </c>
    </row>
    <row r="47" spans="1:7" x14ac:dyDescent="0.3">
      <c r="A47" s="10">
        <v>41</v>
      </c>
      <c r="B47" s="1" t="s">
        <v>206</v>
      </c>
      <c r="C47" s="6" t="s">
        <v>207</v>
      </c>
      <c r="D47" s="7">
        <v>3</v>
      </c>
      <c r="E47" s="2"/>
      <c r="F47" s="13">
        <v>1.56</v>
      </c>
      <c r="G47" s="13">
        <f t="shared" si="0"/>
        <v>4.68</v>
      </c>
    </row>
    <row r="48" spans="1:7" x14ac:dyDescent="0.3">
      <c r="A48" s="10">
        <v>42</v>
      </c>
      <c r="B48" s="1" t="s">
        <v>48</v>
      </c>
      <c r="C48" s="2" t="s">
        <v>186</v>
      </c>
      <c r="D48" s="7">
        <v>12</v>
      </c>
      <c r="E48" s="1" t="s">
        <v>200</v>
      </c>
      <c r="F48" s="13">
        <v>0.05</v>
      </c>
      <c r="G48" s="13">
        <f t="shared" si="0"/>
        <v>0.60000000000000009</v>
      </c>
    </row>
    <row r="49" spans="1:7" x14ac:dyDescent="0.3">
      <c r="A49" s="10">
        <v>43</v>
      </c>
      <c r="B49" s="2" t="s">
        <v>116</v>
      </c>
      <c r="C49" s="2" t="s">
        <v>186</v>
      </c>
      <c r="D49" s="7">
        <v>4</v>
      </c>
      <c r="E49" s="1" t="s">
        <v>200</v>
      </c>
      <c r="F49" s="13">
        <v>0.05</v>
      </c>
      <c r="G49" s="13">
        <f t="shared" si="0"/>
        <v>0.2</v>
      </c>
    </row>
    <row r="50" spans="1:7" x14ac:dyDescent="0.3">
      <c r="A50" s="10">
        <v>44</v>
      </c>
      <c r="B50" s="1" t="s">
        <v>212</v>
      </c>
      <c r="C50" s="2" t="s">
        <v>186</v>
      </c>
      <c r="D50" s="7">
        <v>8</v>
      </c>
      <c r="E50" s="2" t="s">
        <v>200</v>
      </c>
      <c r="F50" s="13">
        <v>0.05</v>
      </c>
      <c r="G50" s="13">
        <f t="shared" si="0"/>
        <v>0.4</v>
      </c>
    </row>
    <row r="51" spans="1:7" x14ac:dyDescent="0.3">
      <c r="A51" s="10">
        <v>45</v>
      </c>
      <c r="B51" s="1" t="s">
        <v>211</v>
      </c>
      <c r="C51" s="2" t="s">
        <v>186</v>
      </c>
      <c r="D51" s="7">
        <v>6</v>
      </c>
      <c r="E51" s="2" t="s">
        <v>200</v>
      </c>
      <c r="F51" s="13">
        <v>0.05</v>
      </c>
      <c r="G51" s="13">
        <f t="shared" si="0"/>
        <v>0.30000000000000004</v>
      </c>
    </row>
    <row r="52" spans="1:7" s="21" customFormat="1" x14ac:dyDescent="0.3">
      <c r="A52" s="16">
        <v>46</v>
      </c>
      <c r="B52" s="17" t="s">
        <v>15</v>
      </c>
      <c r="C52" s="18" t="s">
        <v>178</v>
      </c>
      <c r="D52" s="19">
        <v>1</v>
      </c>
      <c r="E52" s="18" t="s">
        <v>184</v>
      </c>
      <c r="F52" s="20"/>
      <c r="G52" s="20">
        <f t="shared" si="0"/>
        <v>0</v>
      </c>
    </row>
    <row r="53" spans="1:7" s="21" customFormat="1" x14ac:dyDescent="0.3">
      <c r="A53" s="16">
        <v>47</v>
      </c>
      <c r="B53" s="17" t="s">
        <v>13</v>
      </c>
      <c r="C53" s="18" t="s">
        <v>178</v>
      </c>
      <c r="D53" s="19">
        <v>1</v>
      </c>
      <c r="E53" s="18" t="s">
        <v>184</v>
      </c>
      <c r="F53" s="20"/>
      <c r="G53" s="20">
        <f t="shared" si="0"/>
        <v>0</v>
      </c>
    </row>
    <row r="54" spans="1:7" s="21" customFormat="1" x14ac:dyDescent="0.3">
      <c r="A54" s="16">
        <v>48</v>
      </c>
      <c r="B54" s="17" t="s">
        <v>23</v>
      </c>
      <c r="C54" s="18" t="s">
        <v>178</v>
      </c>
      <c r="D54" s="19">
        <v>1</v>
      </c>
      <c r="E54" s="18" t="s">
        <v>184</v>
      </c>
      <c r="F54" s="20"/>
      <c r="G54" s="20">
        <f t="shared" si="0"/>
        <v>0</v>
      </c>
    </row>
    <row r="55" spans="1:7" s="21" customFormat="1" x14ac:dyDescent="0.3">
      <c r="A55" s="16">
        <v>49</v>
      </c>
      <c r="B55" s="17" t="s">
        <v>19</v>
      </c>
      <c r="C55" s="18" t="s">
        <v>178</v>
      </c>
      <c r="D55" s="19">
        <v>1</v>
      </c>
      <c r="E55" s="18" t="s">
        <v>184</v>
      </c>
      <c r="F55" s="20"/>
      <c r="G55" s="20">
        <f t="shared" si="0"/>
        <v>0</v>
      </c>
    </row>
    <row r="56" spans="1:7" s="21" customFormat="1" x14ac:dyDescent="0.3">
      <c r="A56" s="16">
        <v>50</v>
      </c>
      <c r="B56" s="17" t="s">
        <v>17</v>
      </c>
      <c r="C56" s="18" t="s">
        <v>178</v>
      </c>
      <c r="D56" s="19">
        <v>1</v>
      </c>
      <c r="E56" s="18" t="s">
        <v>184</v>
      </c>
      <c r="F56" s="20"/>
      <c r="G56" s="20">
        <f t="shared" si="0"/>
        <v>0</v>
      </c>
    </row>
    <row r="57" spans="1:7" s="21" customFormat="1" x14ac:dyDescent="0.3">
      <c r="A57" s="16">
        <v>51</v>
      </c>
      <c r="B57" s="18" t="s">
        <v>17</v>
      </c>
      <c r="C57" s="18" t="s">
        <v>178</v>
      </c>
      <c r="D57" s="19">
        <v>1</v>
      </c>
      <c r="E57" s="18" t="s">
        <v>184</v>
      </c>
      <c r="F57" s="20"/>
      <c r="G57" s="20">
        <f t="shared" si="0"/>
        <v>0</v>
      </c>
    </row>
    <row r="58" spans="1:7" s="21" customFormat="1" x14ac:dyDescent="0.3">
      <c r="A58" s="16">
        <v>52</v>
      </c>
      <c r="B58" s="17" t="s">
        <v>21</v>
      </c>
      <c r="C58" s="18" t="s">
        <v>178</v>
      </c>
      <c r="D58" s="19">
        <v>1</v>
      </c>
      <c r="E58" s="18" t="s">
        <v>184</v>
      </c>
      <c r="F58" s="20"/>
      <c r="G58" s="20">
        <f t="shared" si="0"/>
        <v>0</v>
      </c>
    </row>
    <row r="59" spans="1:7" s="21" customFormat="1" x14ac:dyDescent="0.3">
      <c r="A59" s="16">
        <v>53</v>
      </c>
      <c r="B59" s="18" t="s">
        <v>21</v>
      </c>
      <c r="C59" s="18" t="s">
        <v>178</v>
      </c>
      <c r="D59" s="19">
        <v>1</v>
      </c>
      <c r="E59" s="18" t="s">
        <v>184</v>
      </c>
      <c r="F59" s="20"/>
      <c r="G59" s="20">
        <f t="shared" si="0"/>
        <v>0</v>
      </c>
    </row>
    <row r="60" spans="1:7" s="21" customFormat="1" x14ac:dyDescent="0.3">
      <c r="A60" s="16">
        <v>54</v>
      </c>
      <c r="B60" s="18" t="s">
        <v>11</v>
      </c>
      <c r="C60" s="18" t="s">
        <v>178</v>
      </c>
      <c r="D60" s="19">
        <v>1</v>
      </c>
      <c r="E60" s="18" t="s">
        <v>184</v>
      </c>
      <c r="F60" s="20"/>
      <c r="G60" s="20">
        <f t="shared" si="0"/>
        <v>0</v>
      </c>
    </row>
    <row r="61" spans="1:7" s="21" customFormat="1" x14ac:dyDescent="0.3">
      <c r="A61" s="16">
        <v>55</v>
      </c>
      <c r="B61" s="17" t="s">
        <v>11</v>
      </c>
      <c r="C61" s="18" t="s">
        <v>178</v>
      </c>
      <c r="D61" s="19">
        <v>1</v>
      </c>
      <c r="E61" s="18" t="s">
        <v>184</v>
      </c>
      <c r="F61" s="20"/>
      <c r="G61" s="20">
        <f t="shared" si="0"/>
        <v>0</v>
      </c>
    </row>
    <row r="62" spans="1:7" s="21" customFormat="1" x14ac:dyDescent="0.3">
      <c r="A62" s="16">
        <v>56</v>
      </c>
      <c r="B62" s="18" t="s">
        <v>29</v>
      </c>
      <c r="C62" s="18" t="s">
        <v>178</v>
      </c>
      <c r="D62" s="19">
        <v>1</v>
      </c>
      <c r="E62" s="18" t="s">
        <v>184</v>
      </c>
      <c r="F62" s="20"/>
      <c r="G62" s="20">
        <f t="shared" si="0"/>
        <v>0</v>
      </c>
    </row>
    <row r="63" spans="1:7" s="21" customFormat="1" x14ac:dyDescent="0.3">
      <c r="A63" s="16">
        <v>57</v>
      </c>
      <c r="B63" s="17" t="s">
        <v>29</v>
      </c>
      <c r="C63" s="18" t="s">
        <v>178</v>
      </c>
      <c r="D63" s="19">
        <v>1</v>
      </c>
      <c r="E63" s="18" t="s">
        <v>184</v>
      </c>
      <c r="F63" s="20"/>
      <c r="G63" s="20">
        <f t="shared" si="0"/>
        <v>0</v>
      </c>
    </row>
    <row r="64" spans="1:7" s="21" customFormat="1" x14ac:dyDescent="0.3">
      <c r="A64" s="16">
        <v>58</v>
      </c>
      <c r="B64" s="17" t="s">
        <v>35</v>
      </c>
      <c r="C64" s="18" t="s">
        <v>178</v>
      </c>
      <c r="D64" s="19">
        <v>1</v>
      </c>
      <c r="E64" s="18" t="s">
        <v>184</v>
      </c>
      <c r="F64" s="20">
        <v>5.12</v>
      </c>
      <c r="G64" s="20">
        <f t="shared" si="0"/>
        <v>5.12</v>
      </c>
    </row>
    <row r="65" spans="1:7" x14ac:dyDescent="0.3">
      <c r="A65" s="10">
        <v>59</v>
      </c>
      <c r="B65" s="2" t="s">
        <v>164</v>
      </c>
      <c r="C65" s="5" t="s">
        <v>179</v>
      </c>
      <c r="D65" s="7">
        <v>1</v>
      </c>
      <c r="F65" s="13">
        <v>2.76</v>
      </c>
      <c r="G65" s="13">
        <f t="shared" si="0"/>
        <v>2.76</v>
      </c>
    </row>
    <row r="66" spans="1:7" s="21" customFormat="1" x14ac:dyDescent="0.3">
      <c r="A66" s="16">
        <v>60</v>
      </c>
      <c r="B66" s="18" t="s">
        <v>163</v>
      </c>
      <c r="C66" s="18" t="s">
        <v>178</v>
      </c>
      <c r="D66" s="19">
        <v>1</v>
      </c>
      <c r="E66" s="18" t="s">
        <v>173</v>
      </c>
      <c r="F66" s="20"/>
      <c r="G66" s="20">
        <f t="shared" si="0"/>
        <v>0</v>
      </c>
    </row>
    <row r="67" spans="1:7" x14ac:dyDescent="0.3">
      <c r="A67" s="10">
        <v>61</v>
      </c>
      <c r="B67" s="1" t="s">
        <v>63</v>
      </c>
      <c r="C67" s="6" t="s">
        <v>180</v>
      </c>
      <c r="D67" s="7">
        <v>1</v>
      </c>
      <c r="F67" s="13">
        <v>31.65</v>
      </c>
      <c r="G67" s="13">
        <f t="shared" si="0"/>
        <v>31.65</v>
      </c>
    </row>
    <row r="68" spans="1:7" s="21" customFormat="1" x14ac:dyDescent="0.3">
      <c r="A68" s="16">
        <v>62</v>
      </c>
      <c r="B68" s="18" t="s">
        <v>64</v>
      </c>
      <c r="C68" s="18" t="s">
        <v>178</v>
      </c>
      <c r="D68" s="19">
        <v>2</v>
      </c>
      <c r="E68" s="17" t="s">
        <v>221</v>
      </c>
      <c r="F68" s="20">
        <v>51.68</v>
      </c>
      <c r="G68" s="20">
        <f t="shared" si="0"/>
        <v>103.36</v>
      </c>
    </row>
    <row r="69" spans="1:7" s="21" customFormat="1" x14ac:dyDescent="0.3">
      <c r="A69" s="16">
        <v>63</v>
      </c>
      <c r="B69" s="17" t="s">
        <v>58</v>
      </c>
      <c r="C69" s="18" t="s">
        <v>178</v>
      </c>
      <c r="D69" s="19">
        <v>1</v>
      </c>
      <c r="E69" s="18" t="s">
        <v>173</v>
      </c>
      <c r="F69" s="20"/>
      <c r="G69" s="20">
        <f t="shared" si="0"/>
        <v>0</v>
      </c>
    </row>
    <row r="70" spans="1:7" x14ac:dyDescent="0.3">
      <c r="A70" s="10">
        <v>64</v>
      </c>
      <c r="B70" s="2" t="s">
        <v>167</v>
      </c>
      <c r="C70" s="5" t="s">
        <v>179</v>
      </c>
      <c r="D70" s="7">
        <v>1</v>
      </c>
      <c r="F70" s="13">
        <v>2.76</v>
      </c>
      <c r="G70" s="13">
        <f t="shared" si="0"/>
        <v>2.76</v>
      </c>
    </row>
    <row r="71" spans="1:7" s="21" customFormat="1" x14ac:dyDescent="0.3">
      <c r="A71" s="16">
        <v>65</v>
      </c>
      <c r="B71" s="18" t="s">
        <v>166</v>
      </c>
      <c r="C71" s="18" t="s">
        <v>178</v>
      </c>
      <c r="D71" s="19">
        <v>1</v>
      </c>
      <c r="E71" s="18" t="s">
        <v>173</v>
      </c>
      <c r="F71" s="20"/>
      <c r="G71" s="20">
        <f t="shared" si="0"/>
        <v>0</v>
      </c>
    </row>
    <row r="72" spans="1:7" s="21" customFormat="1" x14ac:dyDescent="0.3">
      <c r="A72" s="16">
        <v>66</v>
      </c>
      <c r="B72" s="18" t="s">
        <v>165</v>
      </c>
      <c r="C72" s="18" t="s">
        <v>178</v>
      </c>
      <c r="D72" s="19">
        <v>1</v>
      </c>
      <c r="E72" s="18" t="s">
        <v>173</v>
      </c>
      <c r="F72" s="20"/>
      <c r="G72" s="20">
        <f t="shared" ref="G72:G84" si="1">D72*F72</f>
        <v>0</v>
      </c>
    </row>
    <row r="73" spans="1:7" s="21" customFormat="1" x14ac:dyDescent="0.3">
      <c r="A73" s="16">
        <v>67</v>
      </c>
      <c r="B73" s="18" t="s">
        <v>175</v>
      </c>
      <c r="C73" s="18" t="s">
        <v>178</v>
      </c>
      <c r="D73" s="19">
        <v>1</v>
      </c>
      <c r="E73" s="17" t="s">
        <v>222</v>
      </c>
      <c r="F73" s="20">
        <v>123.73</v>
      </c>
      <c r="G73" s="20">
        <f t="shared" si="1"/>
        <v>123.73</v>
      </c>
    </row>
    <row r="74" spans="1:7" s="21" customFormat="1" x14ac:dyDescent="0.3">
      <c r="A74" s="16">
        <v>68</v>
      </c>
      <c r="B74" s="18" t="s">
        <v>176</v>
      </c>
      <c r="C74" s="18" t="s">
        <v>178</v>
      </c>
      <c r="D74" s="19">
        <v>1</v>
      </c>
      <c r="E74" s="17" t="s">
        <v>222</v>
      </c>
      <c r="F74" s="20">
        <v>123.73</v>
      </c>
      <c r="G74" s="20">
        <f t="shared" si="1"/>
        <v>123.73</v>
      </c>
    </row>
    <row r="75" spans="1:7" x14ac:dyDescent="0.3">
      <c r="A75" s="10">
        <v>69</v>
      </c>
      <c r="B75" s="1" t="s">
        <v>80</v>
      </c>
      <c r="C75" s="5" t="s">
        <v>181</v>
      </c>
      <c r="D75" s="7">
        <v>1</v>
      </c>
      <c r="E75" s="2"/>
      <c r="F75" s="13">
        <v>31.65</v>
      </c>
      <c r="G75" s="13">
        <f t="shared" si="1"/>
        <v>31.65</v>
      </c>
    </row>
    <row r="76" spans="1:7" x14ac:dyDescent="0.3">
      <c r="A76" s="10">
        <v>70</v>
      </c>
      <c r="B76" s="1" t="s">
        <v>102</v>
      </c>
      <c r="C76" s="5" t="s">
        <v>181</v>
      </c>
      <c r="D76" s="7">
        <v>1</v>
      </c>
      <c r="F76" s="13">
        <v>31.65</v>
      </c>
      <c r="G76" s="13">
        <f t="shared" si="1"/>
        <v>31.65</v>
      </c>
    </row>
    <row r="77" spans="1:7" s="21" customFormat="1" x14ac:dyDescent="0.3">
      <c r="A77" s="16">
        <v>71</v>
      </c>
      <c r="B77" s="17" t="s">
        <v>131</v>
      </c>
      <c r="C77" s="18" t="s">
        <v>178</v>
      </c>
      <c r="D77" s="19">
        <v>1</v>
      </c>
      <c r="E77" s="17" t="s">
        <v>222</v>
      </c>
      <c r="F77" s="20">
        <v>86.14</v>
      </c>
      <c r="G77" s="20">
        <f t="shared" si="1"/>
        <v>86.14</v>
      </c>
    </row>
    <row r="78" spans="1:7" s="21" customFormat="1" x14ac:dyDescent="0.3">
      <c r="A78" s="16">
        <v>72</v>
      </c>
      <c r="B78" s="17" t="s">
        <v>130</v>
      </c>
      <c r="C78" s="18" t="s">
        <v>178</v>
      </c>
      <c r="D78" s="19">
        <v>1</v>
      </c>
      <c r="E78" s="18" t="s">
        <v>173</v>
      </c>
      <c r="F78" s="20"/>
      <c r="G78" s="20">
        <f t="shared" si="1"/>
        <v>0</v>
      </c>
    </row>
    <row r="79" spans="1:7" s="21" customFormat="1" x14ac:dyDescent="0.3">
      <c r="A79" s="16">
        <v>73</v>
      </c>
      <c r="B79" s="17" t="s">
        <v>125</v>
      </c>
      <c r="C79" s="18" t="s">
        <v>178</v>
      </c>
      <c r="D79" s="19">
        <v>1</v>
      </c>
      <c r="E79" s="18" t="s">
        <v>173</v>
      </c>
      <c r="F79" s="20"/>
      <c r="G79" s="20">
        <f t="shared" si="1"/>
        <v>0</v>
      </c>
    </row>
    <row r="80" spans="1:7" s="21" customFormat="1" x14ac:dyDescent="0.3">
      <c r="A80" s="16">
        <v>74</v>
      </c>
      <c r="B80" s="17" t="s">
        <v>60</v>
      </c>
      <c r="C80" s="18" t="s">
        <v>178</v>
      </c>
      <c r="D80" s="19">
        <v>1</v>
      </c>
      <c r="E80" s="18" t="s">
        <v>173</v>
      </c>
      <c r="F80" s="20"/>
      <c r="G80" s="20">
        <f t="shared" si="1"/>
        <v>0</v>
      </c>
    </row>
    <row r="81" spans="1:7" x14ac:dyDescent="0.3">
      <c r="A81" s="10">
        <v>75</v>
      </c>
      <c r="B81" s="2" t="s">
        <v>169</v>
      </c>
      <c r="C81" s="6" t="s">
        <v>179</v>
      </c>
      <c r="D81" s="7">
        <v>1</v>
      </c>
      <c r="F81" s="13">
        <v>2.76</v>
      </c>
      <c r="G81" s="13">
        <f t="shared" si="1"/>
        <v>2.76</v>
      </c>
    </row>
    <row r="82" spans="1:7" s="21" customFormat="1" x14ac:dyDescent="0.3">
      <c r="A82" s="16">
        <v>76</v>
      </c>
      <c r="B82" s="17" t="s">
        <v>122</v>
      </c>
      <c r="C82" s="18" t="s">
        <v>178</v>
      </c>
      <c r="D82" s="19">
        <v>1</v>
      </c>
      <c r="E82" s="18" t="s">
        <v>173</v>
      </c>
      <c r="F82" s="20"/>
      <c r="G82" s="20">
        <f t="shared" si="1"/>
        <v>0</v>
      </c>
    </row>
    <row r="83" spans="1:7" x14ac:dyDescent="0.3">
      <c r="A83" s="10">
        <v>77</v>
      </c>
      <c r="B83" s="2" t="s">
        <v>168</v>
      </c>
      <c r="C83" s="5" t="s">
        <v>181</v>
      </c>
      <c r="D83" s="7">
        <v>1</v>
      </c>
      <c r="F83" s="13">
        <v>31.65</v>
      </c>
      <c r="G83" s="13">
        <f t="shared" si="1"/>
        <v>31.65</v>
      </c>
    </row>
    <row r="84" spans="1:7" s="21" customFormat="1" x14ac:dyDescent="0.3">
      <c r="A84" s="16">
        <v>78</v>
      </c>
      <c r="B84" s="17" t="s">
        <v>118</v>
      </c>
      <c r="C84" s="18" t="s">
        <v>178</v>
      </c>
      <c r="D84" s="19">
        <v>1</v>
      </c>
      <c r="E84" s="18" t="s">
        <v>173</v>
      </c>
      <c r="F84" s="20"/>
      <c r="G84" s="20">
        <f t="shared" si="1"/>
        <v>0</v>
      </c>
    </row>
    <row r="85" spans="1:7" x14ac:dyDescent="0.3">
      <c r="F85" s="14" t="s">
        <v>219</v>
      </c>
      <c r="G85" s="13">
        <f>SUM(G7:G84)</f>
        <v>937.3599999999999</v>
      </c>
    </row>
  </sheetData>
  <sortState xmlns:xlrd2="http://schemas.microsoft.com/office/spreadsheetml/2017/richdata2" ref="B7:E84">
    <sortCondition ref="B7:B84"/>
  </sortState>
  <hyperlinks>
    <hyperlink ref="C70" r:id="rId1" xr:uid="{9A2C2AB5-E71B-42E4-9227-5FD23CA16787}"/>
    <hyperlink ref="C81" r:id="rId2" xr:uid="{1F399F3D-CBCD-48B4-B4F8-99C91737A3B6}"/>
    <hyperlink ref="C67" r:id="rId3" xr:uid="{B02565D4-1E85-44ED-9134-911D37683E47}"/>
    <hyperlink ref="C75" r:id="rId4" xr:uid="{0FD86FE5-7D50-46D0-AF20-E27374DB0A7D}"/>
    <hyperlink ref="C76" r:id="rId5" xr:uid="{CA363D9C-0290-482D-B8F7-7AFD7A9268AC}"/>
    <hyperlink ref="C83" r:id="rId6" xr:uid="{9466F0C7-74F4-4D57-BFCC-71712DC094C9}"/>
    <hyperlink ref="C7" r:id="rId7" xr:uid="{EC4660B2-CE7D-4397-AD8A-E0699D4E1D65}"/>
    <hyperlink ref="C43" r:id="rId8" xr:uid="{6EFBBB6C-706A-4B8E-8D75-E9D468936881}"/>
    <hyperlink ref="C18" r:id="rId9" xr:uid="{96E2EAA8-A8D2-43EC-8D0B-9D5019A4575D}"/>
    <hyperlink ref="C47" r:id="rId10" xr:uid="{6AE53C4F-E600-472E-87DC-D3D7B2691E23}"/>
    <hyperlink ref="C42" r:id="rId11" xr:uid="{877CF0B1-EC3A-4340-B8C9-F1F80FBF9C3F}"/>
    <hyperlink ref="C20" r:id="rId12" xr:uid="{D94DB504-9670-4818-AFB7-A70C2D4A4ABB}"/>
    <hyperlink ref="C65" r:id="rId13" xr:uid="{25BA87E1-3751-445B-9D38-C227962D5382}"/>
  </hyperlinks>
  <pageMargins left="0.7" right="0.7" top="0.75" bottom="0.75" header="0.3" footer="0.3"/>
  <pageSetup paperSize="9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component</vt:lpstr>
      <vt:lpstr>By part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2026-04-20T11:19:59Z</cp:lastPrinted>
  <dcterms:created xsi:type="dcterms:W3CDTF">2026-04-20T11:19:59Z</dcterms:created>
  <dcterms:modified xsi:type="dcterms:W3CDTF">2026-05-04T23:23:56Z</dcterms:modified>
  <cp:category/>
</cp:coreProperties>
</file>