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ssastar.sharepoint.com/sites/StructuralPowerHTE/Shared Documents/General/Data/qubot/Pescador/02072025_1003/"/>
    </mc:Choice>
  </mc:AlternateContent>
  <xr:revisionPtr revIDLastSave="6" documentId="13_ncr:1_{F1517E3D-5741-4FE4-B001-F256A0841D31}" xr6:coauthVersionLast="47" xr6:coauthVersionMax="47" xr10:uidLastSave="{FA14813F-379B-471E-955A-BB1C8B765835}"/>
  <bookViews>
    <workbookView xWindow="-28920" yWindow="-120" windowWidth="29040" windowHeight="15720" xr2:uid="{50BAC6AB-9795-4479-9311-9E8929B05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J3" i="1" s="1"/>
  <c r="H4" i="1"/>
  <c r="H5" i="1"/>
  <c r="H6" i="1"/>
  <c r="H7" i="1"/>
  <c r="J7" i="1" s="1"/>
  <c r="H8" i="1"/>
  <c r="J8" i="1" s="1"/>
  <c r="H9" i="1"/>
  <c r="H2" i="1"/>
  <c r="I3" i="1"/>
  <c r="I4" i="1"/>
  <c r="J4" i="1" s="1"/>
  <c r="I5" i="1"/>
  <c r="I6" i="1"/>
  <c r="J6" i="1" s="1"/>
  <c r="I7" i="1"/>
  <c r="I8" i="1"/>
  <c r="I9" i="1"/>
  <c r="I2" i="1"/>
  <c r="J5" i="1"/>
  <c r="J9" i="1"/>
  <c r="J2" i="1" l="1"/>
</calcChain>
</file>

<file path=xl/sharedStrings.xml><?xml version="1.0" encoding="utf-8"?>
<sst xmlns="http://schemas.openxmlformats.org/spreadsheetml/2006/main" count="18" uniqueCount="18">
  <si>
    <t>Log</t>
  </si>
  <si>
    <t>Well</t>
  </si>
  <si>
    <t>Electrolyte initial</t>
  </si>
  <si>
    <t>Electrolyte final</t>
  </si>
  <si>
    <t>coincell</t>
  </si>
  <si>
    <t>A1</t>
  </si>
  <si>
    <t>A2</t>
  </si>
  <si>
    <t>A3</t>
  </si>
  <si>
    <t>A4</t>
  </si>
  <si>
    <t>B1</t>
  </si>
  <si>
    <t>B2</t>
  </si>
  <si>
    <t>B3</t>
  </si>
  <si>
    <t>B4</t>
  </si>
  <si>
    <t>Jar 1</t>
  </si>
  <si>
    <t>Jar1 + Electrolyte intial</t>
  </si>
  <si>
    <t>Jar 2</t>
  </si>
  <si>
    <t>Mass Loss</t>
  </si>
  <si>
    <t>Jar2 + Electrolyte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</si>
</sst>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6B13-C138-4610-BF13-022E559875E6}">
  <dimension ref="A1:J9"/>
  <sheetViews>
    <sheetView tabSelected="1" workbookViewId="0">
      <selection activeCell="N10" sqref="N10"/>
    </sheetView>
  </sheetViews>
  <sheetFormatPr defaultRowHeight="14.5" x14ac:dyDescent="0.35"/>
  <cols>
    <col min="6" max="6" width="14.1796875" customWidth="1"/>
    <col min="7" max="7" width="21.81640625" customWidth="1"/>
    <col min="8" max="8" width="15.81640625" customWidth="1"/>
  </cols>
  <sheetData>
    <row r="1" spans="1:10" x14ac:dyDescent="0.35">
      <c r="A1" t="s">
        <v>0</v>
      </c>
      <c r="B1" t="s">
        <v>1</v>
      </c>
      <c r="C1" t="s">
        <v>4</v>
      </c>
      <c r="D1" t="s">
        <v>13</v>
      </c>
      <c r="E1" t="s">
        <v>14</v>
      </c>
      <c r="F1" t="s">
        <v>17</v>
      </c>
      <c r="G1" t="s">
        <v>15</v>
      </c>
      <c r="H1" t="s">
        <v>2</v>
      </c>
      <c r="I1" t="s">
        <v>3</v>
      </c>
      <c r="J1" t="s">
        <v>16</v>
      </c>
    </row>
    <row r="2" spans="1:10" x14ac:dyDescent="0.35">
      <c r="B2" t="s">
        <v>5</v>
      </c>
      <c r="C2">
        <v>0.85129999999999995</v>
      </c>
      <c r="D2">
        <v>50.122599999999998</v>
      </c>
      <c r="E2">
        <v>51.1751</v>
      </c>
      <c r="F2">
        <v>51.206200000000003</v>
      </c>
      <c r="G2">
        <v>50.2819</v>
      </c>
      <c r="H2">
        <f>E2-D2-C2</f>
        <v>0.20120000000000204</v>
      </c>
      <c r="I2">
        <f>F2-G2-C2</f>
        <v>7.3000000000002396E-2</v>
      </c>
      <c r="J2">
        <f>H2-I2</f>
        <v>0.12819999999999965</v>
      </c>
    </row>
    <row r="3" spans="1:10" x14ac:dyDescent="0.35">
      <c r="B3" t="s">
        <v>6</v>
      </c>
      <c r="C3">
        <v>0.86570000000000003</v>
      </c>
      <c r="D3">
        <v>49.754100000000001</v>
      </c>
      <c r="E3">
        <v>50.8491</v>
      </c>
      <c r="F3">
        <v>50.832500000000003</v>
      </c>
      <c r="G3">
        <v>49.8767</v>
      </c>
      <c r="H3">
        <f t="shared" ref="H3:H9" si="0">E3-D3-C3</f>
        <v>0.22929999999999884</v>
      </c>
      <c r="I3">
        <f t="shared" ref="I3:I9" si="1">F3-G3-C3</f>
        <v>9.0100000000003511E-2</v>
      </c>
      <c r="J3">
        <f t="shared" ref="J3:J9" si="2">H3-I3</f>
        <v>0.13919999999999533</v>
      </c>
    </row>
    <row r="4" spans="1:10" x14ac:dyDescent="0.35">
      <c r="B4" t="s">
        <v>7</v>
      </c>
      <c r="C4">
        <v>0.85960000000000003</v>
      </c>
      <c r="D4">
        <v>50.163200000000003</v>
      </c>
      <c r="E4">
        <v>51.2517</v>
      </c>
      <c r="F4">
        <v>51.295200000000001</v>
      </c>
      <c r="G4">
        <v>50.345999999999997</v>
      </c>
      <c r="H4">
        <f t="shared" si="0"/>
        <v>0.22889999999999622</v>
      </c>
      <c r="I4">
        <f t="shared" si="1"/>
        <v>8.9600000000004676E-2</v>
      </c>
      <c r="J4">
        <f t="shared" si="2"/>
        <v>0.13929999999999154</v>
      </c>
    </row>
    <row r="5" spans="1:10" x14ac:dyDescent="0.35">
      <c r="B5" t="s">
        <v>8</v>
      </c>
      <c r="C5">
        <v>0.85729999999999995</v>
      </c>
      <c r="D5">
        <v>49.6218</v>
      </c>
      <c r="E5">
        <v>50.714500000000001</v>
      </c>
      <c r="F5">
        <v>50.651000000000003</v>
      </c>
      <c r="G5">
        <v>49.704599999999999</v>
      </c>
      <c r="H5">
        <f t="shared" si="0"/>
        <v>0.23540000000000072</v>
      </c>
      <c r="I5">
        <f t="shared" si="1"/>
        <v>8.9100000000004176E-2</v>
      </c>
      <c r="J5">
        <f t="shared" si="2"/>
        <v>0.14629999999999654</v>
      </c>
    </row>
    <row r="6" spans="1:10" x14ac:dyDescent="0.35">
      <c r="B6" t="s">
        <v>9</v>
      </c>
      <c r="C6">
        <v>0.85970000000000002</v>
      </c>
      <c r="D6">
        <v>49.890900000000002</v>
      </c>
      <c r="E6">
        <v>50.947000000000003</v>
      </c>
      <c r="F6">
        <v>50.020299999999999</v>
      </c>
      <c r="G6">
        <v>49.034999999999997</v>
      </c>
      <c r="H6">
        <f t="shared" si="0"/>
        <v>0.19640000000000069</v>
      </c>
      <c r="I6">
        <f t="shared" si="1"/>
        <v>0.12560000000000227</v>
      </c>
      <c r="J6">
        <f t="shared" si="2"/>
        <v>7.079999999999842E-2</v>
      </c>
    </row>
    <row r="7" spans="1:10" x14ac:dyDescent="0.35">
      <c r="B7" t="s">
        <v>10</v>
      </c>
      <c r="C7">
        <v>0.86350000000000005</v>
      </c>
      <c r="D7">
        <v>49.923299999999998</v>
      </c>
      <c r="E7">
        <v>51.019300000000001</v>
      </c>
      <c r="F7">
        <v>51.075600000000001</v>
      </c>
      <c r="G7">
        <v>50.0578</v>
      </c>
      <c r="H7">
        <f t="shared" si="0"/>
        <v>0.23250000000000359</v>
      </c>
      <c r="I7">
        <f t="shared" si="1"/>
        <v>0.1543000000000011</v>
      </c>
      <c r="J7">
        <f t="shared" si="2"/>
        <v>7.820000000000249E-2</v>
      </c>
    </row>
    <row r="8" spans="1:10" x14ac:dyDescent="0.35">
      <c r="B8" t="s">
        <v>11</v>
      </c>
      <c r="C8">
        <v>0.86170000000000002</v>
      </c>
      <c r="D8">
        <v>49.693899999999999</v>
      </c>
      <c r="E8">
        <v>50.784599999999998</v>
      </c>
      <c r="F8">
        <v>50.8752</v>
      </c>
      <c r="G8">
        <v>49.861699999999999</v>
      </c>
      <c r="H8">
        <f t="shared" si="0"/>
        <v>0.2289999999999982</v>
      </c>
      <c r="I8">
        <f t="shared" si="1"/>
        <v>0.15180000000000049</v>
      </c>
      <c r="J8">
        <f t="shared" si="2"/>
        <v>7.7199999999997715E-2</v>
      </c>
    </row>
    <row r="9" spans="1:10" x14ac:dyDescent="0.35">
      <c r="B9" t="s">
        <v>12</v>
      </c>
      <c r="C9">
        <v>0.86170000000000002</v>
      </c>
      <c r="D9">
        <v>49.470999999999997</v>
      </c>
      <c r="E9">
        <v>50.563099999999999</v>
      </c>
      <c r="F9">
        <v>50.656599999999997</v>
      </c>
      <c r="G9">
        <v>49.645200000000003</v>
      </c>
      <c r="H9">
        <f t="shared" si="0"/>
        <v>0.23040000000000205</v>
      </c>
      <c r="I9">
        <f t="shared" si="1"/>
        <v>0.14969999999999473</v>
      </c>
      <c r="J9">
        <f t="shared" si="2"/>
        <v>8.0700000000007321E-2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ce4cc-aa9e-4eef-85ef-77de27415e1d" xsi:nil="true"/>
    <lcf76f155ced4ddcb4097134ff3c332f xmlns="74b08120-8b4a-4d1b-9b06-3dbced5e992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47FC47-BBC4-4235-BABC-160C1E8638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389A0E-9121-4960-B696-E12F5779ADB0}">
  <ds:schemaRefs>
    <ds:schemaRef ds:uri="http://schemas.microsoft.com/office/2006/metadata/properties"/>
    <ds:schemaRef ds:uri="http://schemas.microsoft.com/office/infopath/2007/PartnerControls"/>
    <ds:schemaRef ds:uri="f9257a27-1802-405d-a628-e10e75a58086"/>
    <ds:schemaRef ds:uri="c833ac3a-8b59-43cb-91d0-7a026e982a9e"/>
  </ds:schemaRefs>
</ds:datastoreItem>
</file>

<file path=customXml/itemProps3.xml><?xml version="1.0" encoding="utf-8"?>
<ds:datastoreItem xmlns:ds="http://schemas.openxmlformats.org/officeDocument/2006/customXml" ds:itemID="{9D19229D-6426-45B8-ABA0-C6242186CE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Pablo Quijano Velasco</cp:lastModifiedBy>
  <dcterms:created xsi:type="dcterms:W3CDTF">2025-06-26T07:55:03Z</dcterms:created>
  <dcterms:modified xsi:type="dcterms:W3CDTF">2025-12-29T05:34:49Z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  <property fmtid="{D5CDD505-2E9C-101B-9397-08002B2CF9AE}" pid="3" name="MediaServiceImageTags">
    <vt:lpwstr/>
  </property>
</Properties>
</file>