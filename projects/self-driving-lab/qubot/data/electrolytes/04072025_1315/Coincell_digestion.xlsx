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.sharepoint.com/sites/StructuralPowerHTE/Shared Documents/General/Data/qubot/Pescador/04072025_1315/"/>
    </mc:Choice>
  </mc:AlternateContent>
  <xr:revisionPtr revIDLastSave="10" documentId="13_ncr:1_{0548E4CA-6BDC-45E2-9F09-913A127A38AC}" xr6:coauthVersionLast="47" xr6:coauthVersionMax="47" xr10:uidLastSave="{7ECA4802-AE74-4BFB-BCD7-5963AFAE8B3C}"/>
  <bookViews>
    <workbookView xWindow="-28920" yWindow="-120" windowWidth="29040" windowHeight="15720" xr2:uid="{50BAC6AB-9795-4479-9311-9E8929B05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I3" i="1"/>
  <c r="I4" i="1"/>
  <c r="I5" i="1"/>
  <c r="I6" i="1"/>
  <c r="I7" i="1"/>
  <c r="I8" i="1"/>
  <c r="I9" i="1"/>
  <c r="I2" i="1"/>
  <c r="J3" i="1"/>
  <c r="J4" i="1"/>
  <c r="J5" i="1"/>
  <c r="J6" i="1"/>
  <c r="J7" i="1"/>
  <c r="J8" i="1"/>
  <c r="J9" i="1" l="1"/>
  <c r="J2" i="1"/>
</calcChain>
</file>

<file path=xl/sharedStrings.xml><?xml version="1.0" encoding="utf-8"?>
<sst xmlns="http://schemas.openxmlformats.org/spreadsheetml/2006/main" count="18" uniqueCount="18">
  <si>
    <t>Log</t>
  </si>
  <si>
    <t>Well</t>
  </si>
  <si>
    <t>Electrolyte initial</t>
  </si>
  <si>
    <t>Electrolyte final</t>
  </si>
  <si>
    <t>coincell</t>
  </si>
  <si>
    <t>A1</t>
  </si>
  <si>
    <t>A2</t>
  </si>
  <si>
    <t>A3</t>
  </si>
  <si>
    <t>A4</t>
  </si>
  <si>
    <t>B1</t>
  </si>
  <si>
    <t>B2</t>
  </si>
  <si>
    <t>B3</t>
  </si>
  <si>
    <t>B4</t>
  </si>
  <si>
    <t>Jar 1</t>
  </si>
  <si>
    <t>Jar1 + Electrolyte intial</t>
  </si>
  <si>
    <t>Jar 2</t>
  </si>
  <si>
    <t>Mass Loss</t>
  </si>
  <si>
    <t>Jar2 + Electrolyte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</si>
</sst>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6B13-C138-4610-BF13-022E559875E6}">
  <dimension ref="A1:J9"/>
  <sheetViews>
    <sheetView tabSelected="1" workbookViewId="0">
      <selection activeCell="I13" sqref="I13"/>
    </sheetView>
  </sheetViews>
  <sheetFormatPr defaultRowHeight="14.5" x14ac:dyDescent="0.35"/>
  <cols>
    <col min="6" max="6" width="14.1796875" customWidth="1"/>
    <col min="7" max="7" width="21.81640625" customWidth="1"/>
    <col min="8" max="8" width="15.81640625" customWidth="1"/>
    <col min="9" max="9" width="30" customWidth="1"/>
    <col min="10" max="10" width="33.81640625" customWidth="1"/>
  </cols>
  <sheetData>
    <row r="1" spans="1:10" x14ac:dyDescent="0.35">
      <c r="A1" t="s">
        <v>0</v>
      </c>
      <c r="B1" t="s">
        <v>1</v>
      </c>
      <c r="C1" t="s">
        <v>4</v>
      </c>
      <c r="D1" t="s">
        <v>13</v>
      </c>
      <c r="E1" t="s">
        <v>14</v>
      </c>
      <c r="F1" t="s">
        <v>17</v>
      </c>
      <c r="G1" t="s">
        <v>15</v>
      </c>
      <c r="H1" t="s">
        <v>2</v>
      </c>
      <c r="I1" t="s">
        <v>3</v>
      </c>
      <c r="J1" t="s">
        <v>16</v>
      </c>
    </row>
    <row r="2" spans="1:10" x14ac:dyDescent="0.35">
      <c r="B2" s="1" t="s">
        <v>5</v>
      </c>
      <c r="C2">
        <v>0.85809999999999997</v>
      </c>
      <c r="D2">
        <v>50.282600000000002</v>
      </c>
      <c r="E2">
        <v>51.3673</v>
      </c>
      <c r="F2">
        <v>51.210099999999997</v>
      </c>
      <c r="G2">
        <v>50.282899999999998</v>
      </c>
      <c r="H2">
        <f>E2-D2-C2</f>
        <v>0.22659999999999803</v>
      </c>
      <c r="I2">
        <f>F2-G2-C2</f>
        <v>6.9099999999999162E-2</v>
      </c>
      <c r="J2">
        <f>H2-I2</f>
        <v>0.15749999999999886</v>
      </c>
    </row>
    <row r="3" spans="1:10" x14ac:dyDescent="0.35">
      <c r="B3" t="s">
        <v>6</v>
      </c>
      <c r="C3">
        <v>0.85360000000000003</v>
      </c>
      <c r="D3">
        <v>49.877499999999998</v>
      </c>
      <c r="E3">
        <v>50.9679</v>
      </c>
      <c r="F3">
        <v>50.958599999999997</v>
      </c>
      <c r="G3">
        <v>50.025199999999998</v>
      </c>
      <c r="H3">
        <f t="shared" ref="H3:H9" si="0">E3-D3-C3</f>
        <v>0.23680000000000245</v>
      </c>
      <c r="I3">
        <f t="shared" ref="I3:I9" si="1">F3-G3-C3</f>
        <v>7.9799999999998872E-2</v>
      </c>
      <c r="J3">
        <f t="shared" ref="J3:J9" si="2">H3-I3</f>
        <v>0.15700000000000358</v>
      </c>
    </row>
    <row r="4" spans="1:10" x14ac:dyDescent="0.35">
      <c r="B4" s="1" t="s">
        <v>7</v>
      </c>
      <c r="C4">
        <v>0.85950000000000004</v>
      </c>
      <c r="D4">
        <v>50.347299999999997</v>
      </c>
      <c r="E4">
        <v>51.436999999999998</v>
      </c>
      <c r="F4">
        <v>51.355800000000002</v>
      </c>
      <c r="G4">
        <v>50.418700000000001</v>
      </c>
      <c r="H4">
        <f t="shared" si="0"/>
        <v>0.23020000000000052</v>
      </c>
      <c r="I4">
        <f t="shared" si="1"/>
        <v>7.760000000000089E-2</v>
      </c>
      <c r="J4">
        <f t="shared" si="2"/>
        <v>0.15259999999999962</v>
      </c>
    </row>
    <row r="5" spans="1:10" x14ac:dyDescent="0.35">
      <c r="B5" t="s">
        <v>8</v>
      </c>
      <c r="C5">
        <v>0.85499999999999998</v>
      </c>
      <c r="D5">
        <v>49.705599999999997</v>
      </c>
      <c r="E5">
        <v>50.781399999999998</v>
      </c>
      <c r="F5">
        <v>50.665999999999997</v>
      </c>
      <c r="G5">
        <v>49.739600000000003</v>
      </c>
      <c r="H5">
        <f t="shared" si="0"/>
        <v>0.220800000000001</v>
      </c>
      <c r="I5">
        <f t="shared" si="1"/>
        <v>7.1399999999993913E-2</v>
      </c>
      <c r="J5">
        <f t="shared" si="2"/>
        <v>0.14940000000000708</v>
      </c>
    </row>
    <row r="6" spans="1:10" x14ac:dyDescent="0.35">
      <c r="B6" t="s">
        <v>9</v>
      </c>
      <c r="C6">
        <v>0.85909999999999997</v>
      </c>
      <c r="D6">
        <v>50.035800000000002</v>
      </c>
      <c r="E6">
        <v>51.128100000000003</v>
      </c>
      <c r="F6">
        <v>51.058700000000002</v>
      </c>
      <c r="G6">
        <v>50.076000000000001</v>
      </c>
      <c r="H6">
        <f t="shared" si="0"/>
        <v>0.23320000000000163</v>
      </c>
      <c r="I6">
        <f t="shared" si="1"/>
        <v>0.12360000000000126</v>
      </c>
      <c r="J6">
        <f t="shared" si="2"/>
        <v>0.10960000000000036</v>
      </c>
    </row>
    <row r="7" spans="1:10" x14ac:dyDescent="0.35">
      <c r="B7" t="s">
        <v>10</v>
      </c>
      <c r="C7">
        <v>0.86060000000000003</v>
      </c>
      <c r="D7">
        <v>50.058300000000003</v>
      </c>
      <c r="E7">
        <v>51.151000000000003</v>
      </c>
      <c r="F7">
        <v>51.103900000000003</v>
      </c>
      <c r="G7">
        <v>50.1173</v>
      </c>
      <c r="H7">
        <f t="shared" si="0"/>
        <v>0.23210000000000064</v>
      </c>
      <c r="I7">
        <f t="shared" si="1"/>
        <v>0.12600000000000278</v>
      </c>
      <c r="J7">
        <f t="shared" si="2"/>
        <v>0.10609999999999786</v>
      </c>
    </row>
    <row r="8" spans="1:10" x14ac:dyDescent="0.35">
      <c r="B8" t="s">
        <v>11</v>
      </c>
      <c r="C8">
        <v>0.85509999999999997</v>
      </c>
      <c r="D8">
        <v>49.862099999999998</v>
      </c>
      <c r="E8">
        <v>50.948300000000003</v>
      </c>
      <c r="F8">
        <v>50.931399999999996</v>
      </c>
      <c r="G8">
        <v>49.956299999999999</v>
      </c>
      <c r="H8">
        <f t="shared" si="0"/>
        <v>0.23110000000000519</v>
      </c>
      <c r="I8">
        <f t="shared" si="1"/>
        <v>0.11999999999999766</v>
      </c>
      <c r="J8">
        <f t="shared" si="2"/>
        <v>0.11110000000000753</v>
      </c>
    </row>
    <row r="9" spans="1:10" x14ac:dyDescent="0.35">
      <c r="B9" t="s">
        <v>12</v>
      </c>
      <c r="C9">
        <v>0.85680000000000001</v>
      </c>
      <c r="D9">
        <v>49.645699999999998</v>
      </c>
      <c r="E9">
        <v>50.7348</v>
      </c>
      <c r="F9">
        <v>50.6965</v>
      </c>
      <c r="G9">
        <v>49.716700000000003</v>
      </c>
      <c r="H9">
        <f t="shared" si="0"/>
        <v>0.23230000000000195</v>
      </c>
      <c r="I9">
        <f t="shared" si="1"/>
        <v>0.12299999999999733</v>
      </c>
      <c r="J9">
        <f t="shared" si="2"/>
        <v>0.10930000000000462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FFF41D-004A-47B9-8A69-9FABAB1A5F93}"/>
</file>

<file path=customXml/itemProps2.xml><?xml version="1.0" encoding="utf-8"?>
<ds:datastoreItem xmlns:ds="http://schemas.openxmlformats.org/officeDocument/2006/customXml" ds:itemID="{9DEBE1A9-0FAB-4341-9A8B-F1CF75299C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94FE1-2A46-4BDA-A08A-5E8096DF5B60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Pablo Quijano Velasco</cp:lastModifiedBy>
  <dcterms:created xsi:type="dcterms:W3CDTF">2025-06-26T07:55:03Z</dcterms:created>
  <dcterms:modified xsi:type="dcterms:W3CDTF">2025-12-29T05:37:48Z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