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30062025_1415/"/>
    </mc:Choice>
  </mc:AlternateContent>
  <xr:revisionPtr revIDLastSave="18" documentId="13_ncr:1_{F243F2EA-08A2-4E53-9693-20C412F1852C}" xr6:coauthVersionLast="47" xr6:coauthVersionMax="47" xr10:uidLastSave="{BE79D0EB-050A-4569-ACF0-26A19A9A814A}"/>
  <bookViews>
    <workbookView xWindow="-110" yWindow="-110" windowWidth="19420" windowHeight="1030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2" i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<sst xmlns="http://schemas.openxmlformats.org/spreadsheetml/2006/main" count="18" uniqueCount="18">
  <si>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</si>
  <si>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</si>
  <si>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</si>
  <si>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</si>
  <si>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coincell</t>
  </si>
  <si>
    <t>A1</t>
  </si>
  <si>
    <t>A2</t>
  </si>
  <si>
    <t>A3</t>
  </si>
  <si>
    <t>A4</t>
  </si>
  <si>
    <t>B1</t>
  </si>
  <si>
    <t>B2</t>
  </si>
  <si>
    <t>B3</t>
  </si>
  <si>
    <t>B4</t>
  </si>
  <si>
    <t>Jar 1</t>
  </si>
  <si>
    <t>Jar1 + Electrolyte intial</t>
  </si>
  <si>
    <t>Jar 2</t>
  </si>
  <si>
    <t>Jar2 + Electrolyte final</t>
  </si>
  <si>
    <t>Mass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</si>
</sst>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M8" sqref="M8"/>
    </sheetView>
  </sheetViews>
  <sheetFormatPr defaultRowHeight="14.5" x14ac:dyDescent="0.35"/>
  <cols>
    <col min="5" max="5" width="16.36328125" customWidth="1"/>
    <col min="6" max="6" width="14.1796875" customWidth="1"/>
    <col min="7" max="7" width="21.81640625" customWidth="1"/>
    <col min="8" max="8" width="15.816406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13</v>
      </c>
      <c r="E1" t="s">
        <v>14</v>
      </c>
      <c r="F1" t="s">
        <v>16</v>
      </c>
      <c r="G1" t="s">
        <v>15</v>
      </c>
      <c r="H1" t="s">
        <v>2</v>
      </c>
      <c r="I1" t="s">
        <v>3</v>
      </c>
      <c r="J1" t="s">
        <v>17</v>
      </c>
    </row>
    <row r="2" spans="1:10" x14ac:dyDescent="0.35">
      <c r="B2" t="s">
        <v>5</v>
      </c>
      <c r="C2">
        <v>0.86119999999999997</v>
      </c>
      <c r="D2">
        <v>49.994199999999999</v>
      </c>
      <c r="E2">
        <v>51.091999999999999</v>
      </c>
      <c r="H2">
        <f>E2-D2-C2</f>
        <v>0.23659999999999948</v>
      </c>
      <c r="I2">
        <v>8.3799999999999999E-2</v>
      </c>
      <c r="J2">
        <f>H2-I2</f>
        <v>0.15279999999999949</v>
      </c>
    </row>
    <row r="3" spans="1:10" x14ac:dyDescent="0.35">
      <c r="B3" t="s">
        <v>6</v>
      </c>
      <c r="C3">
        <v>0.85740000000000005</v>
      </c>
      <c r="D3">
        <v>49.353400000000001</v>
      </c>
      <c r="E3">
        <v>50.545099999999998</v>
      </c>
      <c r="H3">
        <v>0.23760000000000001</v>
      </c>
      <c r="I3">
        <v>8.4599999999999995E-2</v>
      </c>
      <c r="J3">
        <f t="shared" ref="J3:J9" si="0">H3-I3</f>
        <v>0.15300000000000002</v>
      </c>
    </row>
    <row r="4" spans="1:10" x14ac:dyDescent="0.35">
      <c r="B4" t="s">
        <v>7</v>
      </c>
      <c r="C4">
        <v>0.86619999999999997</v>
      </c>
      <c r="D4">
        <v>49.978900000000003</v>
      </c>
      <c r="E4">
        <v>51.078000000000003</v>
      </c>
      <c r="H4">
        <f t="shared" ref="H3:H9" si="1">E4-D4-C4</f>
        <v>0.2329</v>
      </c>
      <c r="I4">
        <v>8.2799999999999999E-2</v>
      </c>
      <c r="J4">
        <f t="shared" si="0"/>
        <v>0.15010000000000001</v>
      </c>
    </row>
    <row r="5" spans="1:10" x14ac:dyDescent="0.35">
      <c r="B5" t="s">
        <v>8</v>
      </c>
      <c r="C5">
        <v>0.85670000000000002</v>
      </c>
      <c r="D5">
        <v>49.811399999999999</v>
      </c>
      <c r="E5">
        <v>50.900500000000001</v>
      </c>
      <c r="H5">
        <f t="shared" si="1"/>
        <v>0.23240000000000194</v>
      </c>
      <c r="I5">
        <v>8.1299999999999997E-2</v>
      </c>
      <c r="J5">
        <f t="shared" si="0"/>
        <v>0.15110000000000195</v>
      </c>
    </row>
    <row r="6" spans="1:10" x14ac:dyDescent="0.35">
      <c r="B6" t="s">
        <v>9</v>
      </c>
      <c r="C6">
        <v>0.85899999999999999</v>
      </c>
      <c r="D6">
        <v>49.657499999999999</v>
      </c>
      <c r="E6">
        <v>50.752099999999999</v>
      </c>
      <c r="H6">
        <f t="shared" si="1"/>
        <v>0.23559999999999981</v>
      </c>
      <c r="I6">
        <v>0.13200000000000001</v>
      </c>
      <c r="J6">
        <f t="shared" si="0"/>
        <v>0.1035999999999998</v>
      </c>
    </row>
    <row r="7" spans="1:10" x14ac:dyDescent="0.35">
      <c r="B7" t="s">
        <v>10</v>
      </c>
      <c r="C7">
        <v>0.85419999999999996</v>
      </c>
      <c r="D7">
        <v>49.701799999999999</v>
      </c>
      <c r="E7">
        <v>50.792000000000002</v>
      </c>
      <c r="H7">
        <f t="shared" si="1"/>
        <v>0.23600000000000299</v>
      </c>
      <c r="I7">
        <v>0.1358</v>
      </c>
      <c r="J7">
        <f t="shared" si="0"/>
        <v>0.10020000000000298</v>
      </c>
    </row>
    <row r="8" spans="1:10" x14ac:dyDescent="0.35">
      <c r="B8" t="s">
        <v>11</v>
      </c>
      <c r="C8">
        <v>0.86160000000000003</v>
      </c>
      <c r="D8">
        <v>49.190899999999999</v>
      </c>
      <c r="E8">
        <v>50.287399999999998</v>
      </c>
      <c r="H8">
        <f t="shared" si="1"/>
        <v>0.23489999999999889</v>
      </c>
      <c r="I8">
        <v>0.13239999999999999</v>
      </c>
      <c r="J8">
        <f t="shared" si="0"/>
        <v>0.1024999999999989</v>
      </c>
    </row>
    <row r="9" spans="1:10" x14ac:dyDescent="0.35">
      <c r="B9" t="s">
        <v>12</v>
      </c>
      <c r="C9">
        <v>0.86609999999999998</v>
      </c>
      <c r="D9">
        <v>49.753399999999999</v>
      </c>
      <c r="E9">
        <v>50.846699999999998</v>
      </c>
      <c r="H9">
        <f t="shared" si="1"/>
        <v>0.22719999999999929</v>
      </c>
      <c r="I9">
        <v>0.12690000000000001</v>
      </c>
      <c r="J9">
        <f t="shared" si="0"/>
        <v>0.10029999999999928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5E32A6-0795-43FE-9054-9166BDF58E7F}"/>
</file>

<file path=customXml/itemProps2.xml><?xml version="1.0" encoding="utf-8"?>
<ds:datastoreItem xmlns:ds="http://schemas.openxmlformats.org/officeDocument/2006/customXml" ds:itemID="{D0BC4BFF-42A8-4C5C-9A98-E0BD43B3E3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B2751E-8988-49BB-BE68-CF9ECF8EA7EE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2026-01-28T07:49:11Z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